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W1PEPF00012427\EXCELCNV\6c53fe4a-9c85-4224-b865-be4278698446\"/>
    </mc:Choice>
  </mc:AlternateContent>
  <xr:revisionPtr revIDLastSave="0" documentId="8_{79D85D15-2578-4963-9365-A31C1534E997}" xr6:coauthVersionLast="47" xr6:coauthVersionMax="47" xr10:uidLastSave="{00000000-0000-0000-0000-000000000000}"/>
  <bookViews>
    <workbookView xWindow="-60" yWindow="-60" windowWidth="15480" windowHeight="11640" firstSheet="12" activeTab="9" xr2:uid="{6ECB9999-413A-4AB6-A455-433528D3F60A}"/>
  </bookViews>
  <sheets>
    <sheet name="Guideline" sheetId="1" r:id="rId1"/>
    <sheet name="Cover" sheetId="4" r:id="rId2"/>
    <sheet name="Functions" sheetId="5" r:id="rId3"/>
    <sheet name="Statistics" sheetId="6" r:id="rId4"/>
    <sheet name="getDisplayQuantity" sheetId="10" r:id="rId5"/>
    <sheet name=" setCategoryID" sheetId="11" r:id="rId6"/>
    <sheet name="getSellingPrice" sheetId="14" r:id="rId7"/>
    <sheet name="getTotalMoney" sheetId="21" r:id="rId8"/>
    <sheet name="getTotalPrice" sheetId="17" r:id="rId9"/>
    <sheet name="getTotalPrice(Order)" sheetId="22" r:id="rId10"/>
    <sheet name="recalculateTotal" sheetId="20" r:id="rId11"/>
    <sheet name="updateQuantity" sheetId="24" r:id="rId12"/>
    <sheet name="getItemCount" sheetId="23" r:id="rId13"/>
  </sheets>
  <externalReferences>
    <externalReference r:id="rId14"/>
  </externalReferences>
  <definedNames>
    <definedName name="ACTION">#REF!</definedName>
    <definedName name="_xlnm.Print_Area" localSheetId="5">' setCategoryID'!$A$1:$T$55</definedName>
    <definedName name="_xlnm.Print_Area" localSheetId="2">Functions!$A$1:$H$36</definedName>
    <definedName name="_xlnm.Print_Area" localSheetId="4">getDisplayQuantity!$A$1:$T$67</definedName>
    <definedName name="_xlnm.Print_Area" localSheetId="6">getSellingPrice!$A$1:$T$55</definedName>
    <definedName name="_xlnm.Print_Area" localSheetId="0">Guideline!$A$1:$A$48</definedName>
    <definedName name="_xlnm.Print_Area" localSheetId="3">Statistics!$A$1:$I$45</definedName>
    <definedName name="Z_2C0D9096_8D85_462A_A9B5_0B488ADB4269_.wvu.Cols" localSheetId="5" hidden="1">' setCategoryID'!$E:$E</definedName>
    <definedName name="Z_2C0D9096_8D85_462A_A9B5_0B488ADB4269_.wvu.Cols" localSheetId="4" hidden="1">getDisplayQuantity!$E:$E</definedName>
    <definedName name="Z_2C0D9096_8D85_462A_A9B5_0B488ADB4269_.wvu.Cols" localSheetId="6" hidden="1">getSellingPrice!$E:$E</definedName>
    <definedName name="Z_2C0D9096_8D85_462A_A9B5_0B488ADB4269_.wvu.PrintArea" localSheetId="3" hidden="1">Statistics!$A:$I</definedName>
    <definedName name="Z_6F1DCD5D_5DAC_4817_BF40_2B66F6F593E6_.wvu.Cols" localSheetId="5" hidden="1">' setCategoryID'!$E:$E</definedName>
    <definedName name="Z_6F1DCD5D_5DAC_4817_BF40_2B66F6F593E6_.wvu.Cols" localSheetId="4" hidden="1">getDisplayQuantity!$E:$E</definedName>
    <definedName name="Z_6F1DCD5D_5DAC_4817_BF40_2B66F6F593E6_.wvu.Cols" localSheetId="6" hidden="1">getSellingPrice!$E:$E</definedName>
    <definedName name="Z_6F1DCD5D_5DAC_4817_BF40_2B66F6F593E6_.wvu.PrintArea" localSheetId="3" hidden="1">Statistics!$A:$I</definedName>
    <definedName name="Z_BE54E0AD_3725_4423_92D7_4F1C045BE1BC_.wvu.Cols" localSheetId="5" hidden="1">' setCategoryID'!$E:$E</definedName>
    <definedName name="Z_BE54E0AD_3725_4423_92D7_4F1C045BE1BC_.wvu.Cols" localSheetId="4" hidden="1">getDisplayQuantity!$E:$E</definedName>
    <definedName name="Z_BE54E0AD_3725_4423_92D7_4F1C045BE1BC_.wvu.Cols" localSheetId="6" hidden="1">getSellingPrice!$E:$E</definedName>
    <definedName name="Z_BE54E0AD_3725_4423_92D7_4F1C045BE1BC_.wvu.PrintArea" localSheetId="3" hidden="1">Statistics!$A:$I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D20" i="6"/>
  <c r="I19" i="6"/>
  <c r="H19" i="6"/>
  <c r="G19" i="6"/>
  <c r="F19" i="6"/>
  <c r="E19" i="6"/>
  <c r="D19" i="6"/>
  <c r="C19" i="6"/>
  <c r="C18" i="6"/>
  <c r="N7" i="23"/>
  <c r="H20" i="6" s="1"/>
  <c r="M7" i="23"/>
  <c r="G20" i="6" s="1"/>
  <c r="L7" i="23"/>
  <c r="F20" i="6" s="1"/>
  <c r="A7" i="23"/>
  <c r="C20" i="6" s="1"/>
  <c r="A7" i="24"/>
  <c r="N7" i="24"/>
  <c r="M7" i="24"/>
  <c r="L7" i="24"/>
  <c r="C7" i="24"/>
  <c r="O7" i="24"/>
  <c r="C7" i="23"/>
  <c r="O7" i="23"/>
  <c r="C14" i="6"/>
  <c r="I18" i="6"/>
  <c r="H18" i="6"/>
  <c r="G18" i="6"/>
  <c r="F18" i="6"/>
  <c r="E18" i="6"/>
  <c r="D18" i="6"/>
  <c r="I14" i="6"/>
  <c r="B6" i="4"/>
  <c r="N7" i="17"/>
  <c r="H16" i="6" s="1"/>
  <c r="M7" i="17"/>
  <c r="G16" i="6" s="1"/>
  <c r="L7" i="17"/>
  <c r="F16" i="6" s="1"/>
  <c r="A7" i="17"/>
  <c r="C16" i="6" s="1"/>
  <c r="N7" i="21"/>
  <c r="H15" i="6" s="1"/>
  <c r="M7" i="21"/>
  <c r="G15" i="6" s="1"/>
  <c r="L7" i="21"/>
  <c r="F15" i="6" s="1"/>
  <c r="A7" i="21"/>
  <c r="C15" i="6" s="1"/>
  <c r="A7" i="22"/>
  <c r="C17" i="6" s="1"/>
  <c r="A7" i="14"/>
  <c r="A7" i="11"/>
  <c r="C13" i="6" s="1"/>
  <c r="N7" i="20"/>
  <c r="M7" i="20"/>
  <c r="L7" i="20"/>
  <c r="C7" i="20"/>
  <c r="A7" i="20"/>
  <c r="C7" i="14"/>
  <c r="D14" i="6" s="1"/>
  <c r="C7" i="22"/>
  <c r="D17" i="6" s="1"/>
  <c r="L7" i="22"/>
  <c r="F17" i="6" s="1"/>
  <c r="M7" i="22"/>
  <c r="G17" i="6" s="1"/>
  <c r="N7" i="22"/>
  <c r="H17" i="6" s="1"/>
  <c r="O7" i="22"/>
  <c r="I17" i="6" s="1"/>
  <c r="C7" i="21"/>
  <c r="D15" i="6" s="1"/>
  <c r="O7" i="21"/>
  <c r="I15" i="6" s="1"/>
  <c r="O7" i="20"/>
  <c r="F7" i="20"/>
  <c r="L4" i="20"/>
  <c r="M7" i="10"/>
  <c r="N7" i="10"/>
  <c r="O7" i="10"/>
  <c r="O7" i="17"/>
  <c r="I16" i="6" s="1"/>
  <c r="C7" i="17"/>
  <c r="D16" i="6" s="1"/>
  <c r="F7" i="17"/>
  <c r="E16" i="6" s="1"/>
  <c r="L4" i="17"/>
  <c r="C7" i="10"/>
  <c r="A7" i="10"/>
  <c r="C12" i="6" s="1"/>
  <c r="O7" i="14"/>
  <c r="N7" i="14"/>
  <c r="H14" i="6" s="1"/>
  <c r="M7" i="14"/>
  <c r="G14" i="6" s="1"/>
  <c r="L7" i="14"/>
  <c r="F14" i="6" s="1"/>
  <c r="F7" i="14"/>
  <c r="E14" i="6" s="1"/>
  <c r="L4" i="14"/>
  <c r="N7" i="11"/>
  <c r="H13" i="6"/>
  <c r="M7" i="11"/>
  <c r="L7" i="11"/>
  <c r="F13" i="6"/>
  <c r="L7" i="10"/>
  <c r="C7" i="11"/>
  <c r="D12" i="6"/>
  <c r="O7" i="11"/>
  <c r="F7" i="11" s="1"/>
  <c r="E13" i="6" s="1"/>
  <c r="I13" i="6"/>
  <c r="G13" i="6"/>
  <c r="D13" i="6"/>
  <c r="H12" i="6"/>
  <c r="F7" i="10"/>
  <c r="E12" i="6" s="1"/>
  <c r="I12" i="6"/>
  <c r="I21" i="6" s="1"/>
  <c r="G12" i="6"/>
  <c r="G21" i="6" s="1"/>
  <c r="D26" i="6" s="1"/>
  <c r="F12" i="6"/>
  <c r="F21" i="6" s="1"/>
  <c r="D25" i="6" s="1"/>
  <c r="L4" i="11"/>
  <c r="L4" i="10"/>
  <c r="E4" i="5"/>
  <c r="E5" i="5"/>
  <c r="B4" i="6"/>
  <c r="B5" i="6"/>
  <c r="B6" i="6" s="1"/>
  <c r="D21" i="6"/>
  <c r="H21" i="6"/>
  <c r="D27" i="6"/>
  <c r="C21" i="6"/>
  <c r="D23" i="6" s="1"/>
  <c r="D24" i="6"/>
  <c r="L4" i="24" l="1"/>
  <c r="F7" i="24"/>
  <c r="L4" i="23"/>
  <c r="F7" i="23"/>
  <c r="E20" i="6" s="1"/>
  <c r="L4" i="22"/>
  <c r="F7" i="22"/>
  <c r="E17" i="6" s="1"/>
  <c r="L4" i="21"/>
  <c r="F7" i="21"/>
  <c r="E15" i="6" s="1"/>
  <c r="E2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FB5F34B3-0D7A-4FE3-837D-5498B2FE926F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B97F565-3900-4332-9B4E-C68A6CB75DCF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BBE08CFA-434A-4AD1-AF44-81DDB8B31BC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054BB7A-A21A-457B-B62F-202E1A6D763B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41D1CAC3-4FFC-4806-BF39-6BE119275B0E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6CE999E-5696-4708-B2B4-35089BB58975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F230942C-46D6-4434-BA43-D3733631FA87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E4D8EB7-E6D1-4959-84E3-1E02A432972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64D2FA9-F241-4BBC-896B-C8E959805CE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19DE3E7-AC9C-443E-BD39-647B4AD34D6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E98E617-E278-433B-A774-41E86ADA2D7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9940616F-FF40-4CFC-957E-147307101DA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FEB7482-D61D-4521-9AF9-2E6AAB2D093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CA5C2AE-5209-4FF2-AE26-3B8D87C18F2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5BD8CE3-9613-4334-A52F-052246C3148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96C9FD6-3B16-4A53-8D27-B90F07CA63E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DB89507-3C77-4787-A089-B2CD8DE391F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717305F-14D9-43D1-BE41-F7854AF837C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015E673-A9A8-4BEC-BDFA-D0709E340D1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<sst xmlns="http://schemas.openxmlformats.org/spreadsheetml/2006/main" count="1148" uniqueCount="214">
  <si>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</si>
  <si>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</si>
  <si>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</si>
  <si>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sz val="10"/>
        <color rgb="FF000000"/>
        <rFont val="Tahoma"/>
      </rPr>
      <t xml:space="preserve"> - </t>
    </r>
    <r>
      <rPr>
        <b/>
        <sz val="10"/>
        <color rgb="FF000000"/>
        <rFont val="Tahoma"/>
      </rPr>
      <t>Cover</t>
    </r>
    <r>
      <rPr>
        <sz val="10"/>
        <color rgb="FF000000"/>
        <rFont val="Tahoma"/>
      </rPr>
      <t>: General information of the project and Unit Test cases</t>
    </r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</si>
  <si>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</si>
  <si>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</si>
  <si>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</si>
  <si>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</si>
  <si>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</si>
  <si>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</si>
  <si>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</si>
  <si>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</si>
  <si>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</si>
  <si>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</si>
  <si>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</si>
  <si>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</si>
  <si>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</si>
  <si>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</si>
  <si>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</si>
  <si>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</si>
  <si>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</si>
  <si>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</si>
  <si>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</si>
  <si>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</si>
  <si>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</si>
  <si>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</si>
  <si>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</si>
  <si>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</si>
  <si>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</si>
  <si>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</si>
  <si>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</si>
  <si>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</si>
  <si>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</si>
  <si>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</si>
  <si>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</si>
  <si>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</si>
  <si>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</si>
  <si>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</si>
  <si>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</si>
  <si>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</si>
  <si>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</si>
  <si>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</si>
  <si>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</si>
  <si>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</si>
  <si>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</si>
  <si>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</si>
  <si>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</si>
  <si>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PharmacyLife Website</t>
  </si>
  <si>
    <t>Creator</t>
  </si>
  <si>
    <t>hao, kien</t>
  </si>
  <si>
    <t>Project Code</t>
  </si>
  <si>
    <t>PLW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</si>
  <si>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</si>
  <si>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</si>
  <si>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</si>
  <si>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</si>
  <si>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</si>
  <si>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</si>
  <si>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</si>
  <si>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</si>
  <si>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</si>
  <si>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</si>
  <si>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</si>
  <si>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First version of Unit Test Document for PharmacyLife Website.</t>
  </si>
  <si>
    <t>Guideline</t>
  </si>
  <si>
    <t>Function List</t>
  </si>
  <si>
    <t xml:space="preserve">Normal number of Test cases/KLOC </t>
  </si>
  <si>
    <t>Test Environment Setup Description</t>
  </si>
  <si>
    <t>&lt;List enviroment requires in this system
1. Server : Localhost
2. Database : SQL Server
3. Web Browser : Google Chrome, Microsoft Edge
4. Tools: Visual Studio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</si>
  <si>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</si>
  <si>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</si>
  <si>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</si>
  <si>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</si>
  <si>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</si>
  <si>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</si>
  <si>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</si>
  <si>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</si>
  <si>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Conversion</t>
  </si>
  <si>
    <t>Medicine</t>
  </si>
  <si>
    <t>getDisplayQuantity</t>
  </si>
  <si>
    <t>Displays the quantity of products in the appropriate unit, with conversion support if a base unit is available.</t>
  </si>
  <si>
    <t>app running</t>
  </si>
  <si>
    <t>Data Mapping</t>
  </si>
  <si>
    <t>setCategoryID</t>
  </si>
  <si>
    <t xml:space="preserve"> setCategoryID</t>
  </si>
  <si>
    <t>This function is used to receive a string in CategoryID format and convert it into an integer for the CategoryId attribute in the model.</t>
  </si>
  <si>
    <t>Price Retrieval</t>
  </si>
  <si>
    <t>getSellingPrice</t>
  </si>
  <si>
    <t>Returns the selling price from baseUnit when baseUnit is available.</t>
  </si>
  <si>
    <t>Cart Calculation</t>
  </si>
  <si>
    <t>Cart</t>
  </si>
  <si>
    <t>getTotalMoney</t>
  </si>
  <si>
    <t>Used to calculate the total price of the shopping cart/product list.</t>
  </si>
  <si>
    <t>Medicine Calculation</t>
  </si>
  <si>
    <t>getTotalPrice</t>
  </si>
  <si>
    <t>Used to calculate the total price for each medicine in the system.</t>
  </si>
  <si>
    <t>Order</t>
  </si>
  <si>
    <t>Order item</t>
  </si>
  <si>
    <t>getTotalPrice (Order)</t>
  </si>
  <si>
    <t>Perform authentication and handle various input conditions.</t>
  </si>
  <si>
    <t>Total Amount</t>
  </si>
  <si>
    <t>Import</t>
  </si>
  <si>
    <t>recalculateTotal</t>
  </si>
  <si>
    <t>The function calculate totalAmount as quantity × unitPrice</t>
  </si>
  <si>
    <t>Update Quantity</t>
  </si>
  <si>
    <t>updateQuantity</t>
  </si>
  <si>
    <t>Updates the quantity of an item in the cart</t>
  </si>
  <si>
    <t>Item Count</t>
  </si>
  <si>
    <t>getitemCount</t>
  </si>
  <si>
    <t>Calculates the total quantity of all items in the list</t>
  </si>
  <si>
    <t>UNIT TEST REPORT</t>
  </si>
  <si>
    <t>Reviewer/Approver</t>
  </si>
  <si>
    <t>LanLT11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</si>
  <si>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</si>
  <si>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</si>
  <si>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</si>
  <si>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</si>
  <si>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</si>
  <si>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</si>
  <si>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</si>
  <si>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</si>
  <si>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getTotalPrice(Order)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</si>
  <si>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</si>
  <si>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</si>
  <si>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</si>
  <si>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</si>
  <si>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</si>
  <si>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</si>
  <si>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</si>
  <si>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</si>
  <si>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</si>
  <si>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Kien</t>
  </si>
  <si>
    <t>Executed By</t>
  </si>
  <si>
    <t>Lines 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</si>
  <si>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</si>
  <si>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</si>
  <si>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</si>
  <si>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</si>
  <si>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</si>
  <si>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</si>
  <si>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</si>
  <si>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</si>
  <si>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</si>
  <si>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</si>
  <si>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</si>
  <si>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</si>
  <si>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</si>
  <si>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</si>
  <si>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</si>
  <si>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</si>
  <si>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</si>
  <si>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</si>
  <si>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</si>
  <si>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  <phoneticPr fontId="34" type="noConversion"/>
  </si>
  <si>
    <t>remainingQuantity</t>
  </si>
  <si>
    <t>O</t>
  </si>
  <si>
    <t>conversionRate</t>
  </si>
  <si>
    <t>null</t>
  </si>
  <si>
    <t>Confirm</t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</si>
  <si>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</si>
  <si>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</si>
  <si>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</si>
  <si>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>Result</t>
  </si>
  <si>
    <t>Type(N : Normal, A : Abnormal, B : Boundary)</t>
  </si>
  <si>
    <t>Passed/Failed</t>
  </si>
  <si>
    <t>P</t>
  </si>
  <si>
    <t>Executed Date</t>
  </si>
  <si>
    <t>Defect ID</t>
  </si>
  <si>
    <t xml:space="preserve">Precondition </t>
  </si>
  <si>
    <t>categoryID input</t>
  </si>
  <si>
    <t>"-1"</t>
  </si>
  <si>
    <t>""</t>
  </si>
  <si>
    <t>"5"</t>
  </si>
  <si>
    <t>"10"</t>
  </si>
  <si>
    <t>"abc"</t>
  </si>
  <si>
    <t>"10 abc"</t>
  </si>
  <si>
    <t>"00005"</t>
  </si>
  <si>
    <t>Return</t>
  </si>
  <si>
    <t>Exception</t>
  </si>
  <si>
    <t>Log message</t>
  </si>
  <si>
    <t>Returns the selling price from baseUnit when baseUnit is available.
If baseUnit is null, it falls back to the legacy sellingPrice field.</t>
  </si>
  <si>
    <t>baseUnit</t>
  </si>
  <si>
    <t>not null</t>
  </si>
  <si>
    <t>baseUnit.sellingPrice</t>
  </si>
  <si>
    <t>sellingPrice</t>
  </si>
  <si>
    <t>"xyz"</t>
  </si>
  <si>
    <t>quantity</t>
  </si>
  <si>
    <t>2,3</t>
  </si>
  <si>
    <t>price</t>
  </si>
  <si>
    <t>Error</t>
  </si>
  <si>
    <t>getTotalPrice()</t>
  </si>
  <si>
    <t>Used to calculate the total price for each product in the system.</t>
  </si>
  <si>
    <t>Price</t>
  </si>
  <si>
    <t>"error"</t>
  </si>
  <si>
    <t>unitPrice</t>
  </si>
  <si>
    <t>recalculateTotal()</t>
  </si>
  <si>
    <t>do nguyen hao</t>
  </si>
  <si>
    <t>app runing</t>
  </si>
  <si>
    <t>item</t>
  </si>
  <si>
    <t>remove</t>
  </si>
  <si>
    <t>no change</t>
  </si>
  <si>
    <t>update</t>
  </si>
  <si>
    <t>getItemCount</t>
  </si>
  <si>
    <t>-10, -20</t>
  </si>
  <si>
    <t>0, 0</t>
  </si>
  <si>
    <t>" "</t>
  </si>
  <si>
    <t>-5, 0, 5</t>
  </si>
  <si>
    <t>1, -1</t>
  </si>
  <si>
    <t>-1, 5</t>
  </si>
  <si>
    <t>1, 2, 3</t>
  </si>
  <si>
    <t>0, 10</t>
  </si>
  <si>
    <t>5, 5, 5, 5</t>
  </si>
  <si>
    <t>10, 20</t>
  </si>
  <si>
    <t>1000, 2000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</si>
</sst>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8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color rgb="FF000000"/>
      <name val="Courier New"/>
      <family val="3"/>
    </font>
    <font>
      <i/>
      <sz val="12"/>
      <color rgb="FF000000"/>
      <name val="Consolas"/>
      <charset val="1"/>
    </font>
    <font>
      <sz val="8"/>
      <color rgb="FF000000"/>
      <name val="ＭＳ Ｐゴシック"/>
      <family val="3"/>
      <charset val="128"/>
    </font>
    <font>
      <i/>
      <sz val="12"/>
      <name val="Tahoma"/>
      <family val="2"/>
    </font>
    <font>
      <b/>
      <sz val="12"/>
      <name val="Courier New"/>
    </font>
    <font>
      <b/>
      <sz val="8"/>
      <name val="Courier New"/>
    </font>
    <font>
      <sz val="8"/>
      <name val="Courier New"/>
    </font>
    <font>
      <b/>
      <sz val="12"/>
      <color rgb="FFFF0000"/>
      <name val="Courier New"/>
      <family val="3"/>
    </font>
    <font>
      <b/>
      <sz val="12"/>
      <color rgb="FFFF0000"/>
      <name val="Courier New"/>
    </font>
    <font>
      <sz val="10"/>
      <color rgb="FF000000"/>
      <name val="Tahoma"/>
    </font>
    <font>
      <b/>
      <sz val="10"/>
      <color rgb="FF000000"/>
      <name val="Tahoma"/>
    </font>
    <font>
      <sz val="10"/>
      <color rgb="FF000000"/>
      <name val="Tahoma"/>
      <family val="2"/>
    </font>
    <font>
      <b/>
      <sz val="12"/>
      <color theme="1"/>
      <name val="Courier New"/>
      <family val="3"/>
    </font>
    <font>
      <u/>
      <sz val="10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</font>
    <font>
      <sz val="10"/>
      <color rgb="FF0000FF"/>
      <name val="Tahoma"/>
      <family val="2"/>
    </font>
    <font>
      <sz val="8"/>
      <color rgb="FF000000"/>
      <name val="Tahoma"/>
      <charset val="1"/>
    </font>
    <font>
      <i/>
      <sz val="8"/>
      <color rgb="FF000000"/>
      <name val="Tahoma"/>
      <charset val="1"/>
    </font>
    <font>
      <sz val="10"/>
      <name val="Tahoma"/>
    </font>
    <font>
      <i/>
      <sz val="8"/>
      <color rgb="FF000000"/>
      <name val="Tahoma"/>
      <family val="2"/>
    </font>
    <font>
      <u/>
      <sz val="11"/>
      <color indexed="12"/>
      <name val="Tahoma"/>
    </font>
    <font>
      <sz val="11"/>
      <color rgb="FF0000FF"/>
      <name val="Tahoma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FF"/>
        <bgColor indexed="64"/>
      </patternFill>
    </fill>
  </fills>
  <borders count="1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/>
      <top style="hair">
        <color indexed="8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545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 applyAlignment="1"/>
    <xf numFmtId="0" fontId="26" fillId="0" borderId="0" xfId="41" applyFont="1" applyBorder="1" applyAlignment="1">
      <alignment horizontal="left"/>
    </xf>
    <xf numFmtId="0" fontId="24" fillId="0" borderId="0" xfId="41" applyFont="1" applyBorder="1" applyAlignment="1"/>
    <xf numFmtId="0" fontId="25" fillId="0" borderId="0" xfId="41" applyFont="1" applyFill="1" applyBorder="1" applyAlignment="1">
      <alignment horizontal="left" indent="1"/>
    </xf>
    <xf numFmtId="0" fontId="26" fillId="0" borderId="0" xfId="41" applyFont="1" applyBorder="1" applyAlignment="1">
      <alignment horizontal="left" indent="1"/>
    </xf>
    <xf numFmtId="0" fontId="24" fillId="0" borderId="0" xfId="41" applyFont="1" applyFill="1"/>
    <xf numFmtId="0" fontId="24" fillId="0" borderId="0" xfId="41" applyFont="1" applyBorder="1"/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 applyBorder="1" applyAlignment="1"/>
    <xf numFmtId="0" fontId="24" fillId="24" borderId="0" xfId="41" applyFont="1" applyFill="1" applyBorder="1" applyAlignment="1"/>
    <xf numFmtId="0" fontId="24" fillId="24" borderId="0" xfId="41" applyFont="1" applyFill="1" applyBorder="1" applyAlignment="1">
      <alignment wrapText="1"/>
    </xf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64" fontId="24" fillId="24" borderId="0" xfId="38" applyNumberFormat="1" applyFont="1" applyFill="1" applyBorder="1"/>
    <xf numFmtId="0" fontId="25" fillId="24" borderId="0" xfId="41" applyFont="1" applyFill="1"/>
    <xf numFmtId="0" fontId="26" fillId="24" borderId="0" xfId="38" applyFont="1" applyFill="1" applyBorder="1"/>
    <xf numFmtId="0" fontId="24" fillId="24" borderId="0" xfId="41" applyFont="1" applyFill="1" applyBorder="1"/>
    <xf numFmtId="0" fontId="27" fillId="25" borderId="21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 wrapText="1"/>
    </xf>
    <xf numFmtId="0" fontId="27" fillId="25" borderId="22" xfId="41" applyNumberFormat="1" applyFont="1" applyFill="1" applyBorder="1" applyAlignment="1">
      <alignment horizontal="center"/>
    </xf>
    <xf numFmtId="0" fontId="27" fillId="25" borderId="25" xfId="41" applyNumberFormat="1" applyFont="1" applyFill="1" applyBorder="1" applyAlignment="1">
      <alignment horizontal="center" wrapText="1"/>
    </xf>
    <xf numFmtId="0" fontId="24" fillId="24" borderId="23" xfId="41" applyNumberFormat="1" applyFont="1" applyFill="1" applyBorder="1" applyAlignment="1">
      <alignment horizontal="center"/>
    </xf>
    <xf numFmtId="0" fontId="24" fillId="24" borderId="15" xfId="41" applyNumberFormat="1" applyFont="1" applyFill="1" applyBorder="1" applyAlignment="1">
      <alignment horizontal="center"/>
    </xf>
    <xf numFmtId="0" fontId="24" fillId="24" borderId="26" xfId="41" applyNumberFormat="1" applyFont="1" applyFill="1" applyBorder="1" applyAlignment="1">
      <alignment horizontal="center"/>
    </xf>
    <xf numFmtId="0" fontId="32" fillId="25" borderId="24" xfId="41" applyNumberFormat="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Border="1" applyAlignment="1">
      <alignment horizontal="center"/>
    </xf>
    <xf numFmtId="10" fontId="24" fillId="24" borderId="0" xfId="41" applyNumberFormat="1" applyFont="1" applyFill="1" applyBorder="1" applyAlignment="1">
      <alignment horizontal="center"/>
    </xf>
    <xf numFmtId="9" fontId="24" fillId="24" borderId="0" xfId="41" applyNumberFormat="1" applyFont="1" applyFill="1" applyBorder="1" applyAlignment="1">
      <alignment horizontal="center"/>
    </xf>
    <xf numFmtId="0" fontId="33" fillId="24" borderId="0" xfId="41" applyFont="1" applyFill="1" applyBorder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 applyFill="1"/>
    <xf numFmtId="49" fontId="35" fillId="0" borderId="0" xfId="41" applyNumberFormat="1" applyFont="1" applyBorder="1"/>
    <xf numFmtId="0" fontId="35" fillId="0" borderId="0" xfId="41" applyFont="1" applyBorder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Border="1" applyAlignment="1">
      <alignment horizontal="right"/>
    </xf>
    <xf numFmtId="0" fontId="35" fillId="0" borderId="0" xfId="41" applyFont="1" applyFill="1" applyBorder="1" applyAlignment="1">
      <alignment vertical="top"/>
    </xf>
    <xf numFmtId="0" fontId="35" fillId="28" borderId="0" xfId="41" applyFont="1" applyFill="1" applyBorder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 applyAlignment="1"/>
    <xf numFmtId="0" fontId="36" fillId="27" borderId="40" xfId="41" applyFont="1" applyFill="1" applyBorder="1" applyAlignment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 applyAlignment="1"/>
    <xf numFmtId="0" fontId="35" fillId="27" borderId="30" xfId="41" applyFont="1" applyFill="1" applyBorder="1" applyAlignment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 applyAlignment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65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 applyFill="1"/>
    <xf numFmtId="49" fontId="35" fillId="0" borderId="0" xfId="42" applyNumberFormat="1" applyFont="1" applyBorder="1"/>
    <xf numFmtId="0" fontId="35" fillId="0" borderId="0" xfId="42" applyFont="1" applyBorder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Border="1" applyAlignment="1">
      <alignment horizontal="right"/>
    </xf>
    <xf numFmtId="0" fontId="35" fillId="0" borderId="0" xfId="42" applyFont="1" applyFill="1" applyBorder="1" applyAlignment="1">
      <alignment vertical="top"/>
    </xf>
    <xf numFmtId="0" fontId="35" fillId="28" borderId="0" xfId="42" applyFont="1" applyFill="1" applyBorder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 applyAlignment="1"/>
    <xf numFmtId="0" fontId="36" fillId="27" borderId="40" xfId="42" applyFont="1" applyFill="1" applyBorder="1" applyAlignment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 applyAlignment="1"/>
    <xf numFmtId="0" fontId="35" fillId="27" borderId="30" xfId="42" applyFont="1" applyFill="1" applyBorder="1" applyAlignment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 applyAlignment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165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 applyAlignment="1">
      <alignment horizontal="left" inden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0" borderId="0" xfId="41" applyFont="1" applyFill="1" applyBorder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NumberFormat="1" applyFont="1" applyFill="1" applyBorder="1" applyAlignment="1">
      <alignment horizontal="center" vertical="center"/>
    </xf>
    <xf numFmtId="0" fontId="36" fillId="0" borderId="0" xfId="41" applyFont="1" applyBorder="1" applyAlignment="1">
      <alignment horizontal="left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6" fillId="0" borderId="0" xfId="42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Border="1" applyAlignment="1">
      <alignment horizontal="left"/>
    </xf>
    <xf numFmtId="2" fontId="30" fillId="24" borderId="0" xfId="41" applyNumberFormat="1" applyFont="1" applyFill="1" applyBorder="1" applyAlignment="1">
      <alignment horizontal="right" wrapText="1"/>
    </xf>
    <xf numFmtId="0" fontId="36" fillId="27" borderId="49" xfId="41" applyFont="1" applyFill="1" applyBorder="1" applyAlignment="1"/>
    <xf numFmtId="0" fontId="35" fillId="27" borderId="32" xfId="41" applyFont="1" applyFill="1" applyBorder="1" applyAlignment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5" fillId="30" borderId="56" xfId="41" applyFont="1" applyFill="1" applyBorder="1" applyAlignment="1">
      <alignment vertical="center"/>
    </xf>
    <xf numFmtId="0" fontId="55" fillId="30" borderId="61" xfId="41" applyFont="1" applyFill="1" applyBorder="1" applyAlignment="1">
      <alignment vertical="top"/>
    </xf>
    <xf numFmtId="165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6" xfId="41" applyFont="1" applyFill="1" applyBorder="1" applyAlignment="1">
      <alignment vertical="top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5" fillId="24" borderId="46" xfId="42" applyNumberFormat="1" applyFont="1" applyFill="1" applyBorder="1" applyAlignment="1">
      <alignment horizontal="center" vertical="center"/>
    </xf>
    <xf numFmtId="0" fontId="36" fillId="27" borderId="49" xfId="42" applyFont="1" applyFill="1" applyBorder="1" applyAlignment="1"/>
    <xf numFmtId="0" fontId="35" fillId="27" borderId="32" xfId="42" applyFont="1" applyFill="1" applyBorder="1" applyAlignment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39" fillId="0" borderId="55" xfId="42" applyFont="1" applyBorder="1" applyAlignment="1">
      <alignment horizontal="center"/>
    </xf>
    <xf numFmtId="0" fontId="55" fillId="30" borderId="56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63" xfId="42" applyFont="1" applyFill="1" applyBorder="1" applyAlignment="1">
      <alignment vertical="top"/>
    </xf>
    <xf numFmtId="0" fontId="39" fillId="0" borderId="58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39" fillId="0" borderId="59" xfId="42" applyFont="1" applyBorder="1" applyAlignment="1">
      <alignment horizontal="center"/>
    </xf>
    <xf numFmtId="0" fontId="41" fillId="0" borderId="60" xfId="42" applyFont="1" applyBorder="1" applyAlignment="1">
      <alignment horizontal="center"/>
    </xf>
    <xf numFmtId="0" fontId="55" fillId="30" borderId="61" xfId="42" applyFont="1" applyFill="1" applyBorder="1" applyAlignment="1">
      <alignment vertical="top"/>
    </xf>
    <xf numFmtId="0" fontId="41" fillId="0" borderId="55" xfId="42" applyFont="1" applyBorder="1" applyAlignment="1">
      <alignment horizontal="center"/>
    </xf>
    <xf numFmtId="165" fontId="35" fillId="0" borderId="55" xfId="42" applyNumberFormat="1" applyFont="1" applyBorder="1" applyAlignment="1">
      <alignment vertical="top" textRotation="255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7" xfId="42" applyFont="1" applyBorder="1" applyAlignment="1">
      <alignment textRotation="255"/>
    </xf>
    <xf numFmtId="1" fontId="24" fillId="24" borderId="0" xfId="41" applyNumberFormat="1" applyFont="1" applyFill="1" applyBorder="1" applyAlignment="1">
      <alignment horizontal="center" vertical="center"/>
    </xf>
    <xf numFmtId="1" fontId="24" fillId="24" borderId="0" xfId="41" applyNumberFormat="1" applyFont="1" applyFill="1" applyBorder="1" applyAlignment="1">
      <alignment vertical="center"/>
    </xf>
    <xf numFmtId="49" fontId="24" fillId="24" borderId="0" xfId="41" applyNumberFormat="1" applyFont="1" applyFill="1" applyBorder="1" applyAlignment="1">
      <alignment horizontal="left" vertical="center"/>
    </xf>
    <xf numFmtId="49" fontId="24" fillId="24" borderId="0" xfId="41" applyNumberFormat="1" applyFont="1" applyFill="1" applyBorder="1" applyAlignment="1">
      <alignment horizontal="left" vertical="center" wrapText="1"/>
    </xf>
    <xf numFmtId="0" fontId="24" fillId="24" borderId="0" xfId="41" applyFont="1" applyFill="1" applyBorder="1" applyAlignment="1">
      <alignment horizontal="left" vertical="center"/>
    </xf>
    <xf numFmtId="0" fontId="36" fillId="27" borderId="29" xfId="41" applyFont="1" applyFill="1" applyBorder="1" applyAlignment="1">
      <alignment horizontal="left" vertical="top" wrapText="1"/>
    </xf>
    <xf numFmtId="0" fontId="35" fillId="28" borderId="0" xfId="41" applyFont="1" applyFill="1" applyAlignment="1">
      <alignment horizontal="right"/>
    </xf>
    <xf numFmtId="0" fontId="35" fillId="0" borderId="0" xfId="41" applyFont="1" applyAlignment="1">
      <alignment vertical="top"/>
    </xf>
    <xf numFmtId="0" fontId="38" fillId="28" borderId="0" xfId="41" applyFont="1" applyFill="1" applyAlignment="1">
      <alignment horizontal="right"/>
    </xf>
    <xf numFmtId="0" fontId="35" fillId="27" borderId="31" xfId="41" applyFont="1" applyFill="1" applyBorder="1" applyAlignment="1">
      <alignment horizontal="right" vertical="top"/>
    </xf>
    <xf numFmtId="0" fontId="36" fillId="27" borderId="29" xfId="42" applyFont="1" applyFill="1" applyBorder="1" applyAlignment="1">
      <alignment horizontal="left" vertical="top" wrapText="1"/>
    </xf>
    <xf numFmtId="0" fontId="35" fillId="27" borderId="31" xfId="41" applyFont="1" applyFill="1" applyBorder="1" applyAlignment="1">
      <alignment horizontal="right" vertical="top" wrapText="1"/>
    </xf>
    <xf numFmtId="0" fontId="35" fillId="27" borderId="31" xfId="41" applyFont="1" applyFill="1" applyBorder="1" applyAlignment="1">
      <alignment horizontal="right" wrapText="1"/>
    </xf>
    <xf numFmtId="0" fontId="35" fillId="0" borderId="0" xfId="41" applyFont="1" applyAlignment="1">
      <alignment horizontal="right" wrapText="1"/>
    </xf>
    <xf numFmtId="0" fontId="57" fillId="0" borderId="33" xfId="41" applyFont="1" applyBorder="1" applyAlignment="1">
      <alignment horizontal="center"/>
    </xf>
    <xf numFmtId="3" fontId="35" fillId="27" borderId="31" xfId="41" applyNumberFormat="1" applyFont="1" applyFill="1" applyBorder="1" applyAlignment="1">
      <alignment horizontal="right" wrapText="1"/>
    </xf>
    <xf numFmtId="0" fontId="36" fillId="0" borderId="0" xfId="41" applyFont="1"/>
    <xf numFmtId="0" fontId="61" fillId="0" borderId="33" xfId="41" applyFont="1" applyBorder="1" applyAlignment="1">
      <alignment horizontal="center"/>
    </xf>
    <xf numFmtId="0" fontId="61" fillId="0" borderId="55" xfId="41" applyFont="1" applyBorder="1" applyAlignment="1">
      <alignment horizontal="center"/>
    </xf>
    <xf numFmtId="0" fontId="62" fillId="0" borderId="0" xfId="41" applyFont="1" applyAlignment="1">
      <alignment horizontal="center"/>
    </xf>
    <xf numFmtId="0" fontId="61" fillId="0" borderId="38" xfId="41" applyFont="1" applyBorder="1" applyAlignment="1">
      <alignment horizontal="center"/>
    </xf>
    <xf numFmtId="0" fontId="61" fillId="0" borderId="57" xfId="41" applyFont="1" applyBorder="1" applyAlignment="1">
      <alignment horizontal="center"/>
    </xf>
    <xf numFmtId="0" fontId="36" fillId="27" borderId="39" xfId="41" applyFont="1" applyFill="1" applyBorder="1"/>
    <xf numFmtId="0" fontId="36" fillId="27" borderId="40" xfId="41" applyFont="1" applyFill="1" applyBorder="1"/>
    <xf numFmtId="0" fontId="61" fillId="0" borderId="42" xfId="41" applyFont="1" applyBorder="1" applyAlignment="1">
      <alignment horizontal="center"/>
    </xf>
    <xf numFmtId="0" fontId="61" fillId="0" borderId="58" xfId="41" applyFont="1" applyBorder="1" applyAlignment="1">
      <alignment horizontal="center"/>
    </xf>
    <xf numFmtId="0" fontId="35" fillId="27" borderId="30" xfId="41" applyFont="1" applyFill="1" applyBorder="1"/>
    <xf numFmtId="0" fontId="36" fillId="27" borderId="29" xfId="41" applyFont="1" applyFill="1" applyBorder="1"/>
    <xf numFmtId="0" fontId="0" fillId="27" borderId="30" xfId="41" applyFont="1" applyFill="1" applyBorder="1"/>
    <xf numFmtId="0" fontId="36" fillId="27" borderId="49" xfId="41" applyFont="1" applyFill="1" applyBorder="1"/>
    <xf numFmtId="0" fontId="35" fillId="27" borderId="32" xfId="41" applyFont="1" applyFill="1" applyBorder="1"/>
    <xf numFmtId="0" fontId="61" fillId="0" borderId="51" xfId="41" applyFont="1" applyBorder="1" applyAlignment="1">
      <alignment horizontal="center"/>
    </xf>
    <xf numFmtId="0" fontId="61" fillId="0" borderId="59" xfId="41" applyFont="1" applyBorder="1" applyAlignment="1">
      <alignment horizontal="center"/>
    </xf>
    <xf numFmtId="0" fontId="63" fillId="0" borderId="52" xfId="41" applyFont="1" applyBorder="1" applyAlignment="1">
      <alignment horizontal="center"/>
    </xf>
    <xf numFmtId="0" fontId="63" fillId="0" borderId="60" xfId="41" applyFont="1" applyBorder="1" applyAlignment="1">
      <alignment horizontal="center"/>
    </xf>
    <xf numFmtId="0" fontId="63" fillId="0" borderId="33" xfId="41" applyFont="1" applyBorder="1" applyAlignment="1">
      <alignment horizontal="center"/>
    </xf>
    <xf numFmtId="0" fontId="63" fillId="0" borderId="55" xfId="41" applyFont="1" applyBorder="1" applyAlignment="1">
      <alignment horizontal="center"/>
    </xf>
    <xf numFmtId="0" fontId="64" fillId="0" borderId="33" xfId="41" applyFont="1" applyBorder="1" applyAlignment="1">
      <alignment horizontal="center"/>
    </xf>
    <xf numFmtId="0" fontId="36" fillId="27" borderId="105" xfId="41" applyFont="1" applyFill="1" applyBorder="1" applyAlignment="1">
      <alignment horizontal="left" vertical="top"/>
    </xf>
    <xf numFmtId="0" fontId="35" fillId="27" borderId="0" xfId="41" applyFont="1" applyFill="1" applyBorder="1" applyAlignment="1">
      <alignment horizontal="center" vertical="top"/>
    </xf>
    <xf numFmtId="0" fontId="35" fillId="27" borderId="106" xfId="41" applyFont="1" applyFill="1" applyBorder="1" applyAlignment="1">
      <alignment horizontal="right" vertical="top"/>
    </xf>
    <xf numFmtId="0" fontId="39" fillId="0" borderId="107" xfId="41" applyFont="1" applyBorder="1" applyAlignment="1">
      <alignment horizontal="center"/>
    </xf>
    <xf numFmtId="0" fontId="64" fillId="0" borderId="42" xfId="42" applyFont="1" applyBorder="1" applyAlignment="1">
      <alignment horizontal="center"/>
    </xf>
    <xf numFmtId="0" fontId="65" fillId="0" borderId="33" xfId="41" applyFont="1" applyBorder="1" applyAlignment="1">
      <alignment horizontal="center"/>
    </xf>
    <xf numFmtId="0" fontId="35" fillId="27" borderId="0" xfId="41" applyFont="1" applyFill="1" applyBorder="1" applyAlignment="1">
      <alignment horizontal="right" vertical="top"/>
    </xf>
    <xf numFmtId="0" fontId="64" fillId="0" borderId="33" xfId="42" applyFont="1" applyBorder="1" applyAlignment="1">
      <alignment horizontal="center"/>
    </xf>
    <xf numFmtId="0" fontId="39" fillId="0" borderId="31" xfId="41" applyFont="1" applyBorder="1" applyAlignment="1">
      <alignment horizontal="center"/>
    </xf>
    <xf numFmtId="0" fontId="35" fillId="27" borderId="41" xfId="41" applyFont="1" applyFill="1" applyBorder="1" applyAlignment="1">
      <alignment horizontal="right" vertical="top"/>
    </xf>
    <xf numFmtId="0" fontId="68" fillId="29" borderId="0" xfId="0" applyFont="1" applyFill="1" applyAlignment="1">
      <alignment horizontal="justify"/>
    </xf>
    <xf numFmtId="14" fontId="45" fillId="0" borderId="11" xfId="41" applyNumberFormat="1" applyFont="1" applyBorder="1" applyAlignment="1"/>
    <xf numFmtId="0" fontId="69" fillId="0" borderId="33" xfId="42" applyFont="1" applyBorder="1" applyAlignment="1">
      <alignment horizontal="center"/>
    </xf>
    <xf numFmtId="0" fontId="31" fillId="24" borderId="15" xfId="34" applyNumberFormat="1" applyFont="1" applyFill="1" applyBorder="1" applyAlignment="1" applyProtection="1">
      <alignment horizontal="left" vertical="center" wrapText="1"/>
    </xf>
    <xf numFmtId="49" fontId="70" fillId="24" borderId="15" xfId="41" applyNumberFormat="1" applyFont="1" applyFill="1" applyBorder="1" applyAlignment="1">
      <alignment horizontal="left" vertical="center"/>
    </xf>
    <xf numFmtId="0" fontId="72" fillId="0" borderId="0" xfId="0" applyFont="1" applyAlignment="1">
      <alignment vertical="center" wrapText="1"/>
    </xf>
    <xf numFmtId="0" fontId="35" fillId="28" borderId="31" xfId="41" applyFont="1" applyFill="1" applyBorder="1" applyAlignment="1">
      <alignment horizontal="left"/>
    </xf>
    <xf numFmtId="0" fontId="35" fillId="27" borderId="50" xfId="41" applyFont="1" applyFill="1" applyBorder="1" applyAlignment="1">
      <alignment horizontal="right" wrapText="1"/>
    </xf>
    <xf numFmtId="0" fontId="35" fillId="0" borderId="97" xfId="41" applyFont="1" applyBorder="1" applyAlignment="1">
      <alignment horizontal="right" wrapText="1"/>
    </xf>
    <xf numFmtId="0" fontId="35" fillId="27" borderId="108" xfId="41" applyFont="1" applyFill="1" applyBorder="1" applyAlignment="1">
      <alignment horizontal="right" wrapText="1"/>
    </xf>
    <xf numFmtId="3" fontId="35" fillId="27" borderId="41" xfId="41" applyNumberFormat="1" applyFont="1" applyFill="1" applyBorder="1" applyAlignment="1">
      <alignment horizontal="right" wrapText="1"/>
    </xf>
    <xf numFmtId="0" fontId="35" fillId="27" borderId="31" xfId="42" applyFont="1" applyFill="1" applyBorder="1" applyAlignment="1">
      <alignment horizontal="right" vertical="top" wrapText="1"/>
    </xf>
    <xf numFmtId="0" fontId="74" fillId="0" borderId="0" xfId="0" applyFont="1">
      <alignment vertical="center"/>
    </xf>
    <xf numFmtId="0" fontId="75" fillId="0" borderId="0" xfId="0" applyFont="1" applyAlignment="1">
      <alignment vertical="center" wrapText="1"/>
    </xf>
    <xf numFmtId="0" fontId="31" fillId="24" borderId="109" xfId="34" applyNumberFormat="1" applyFont="1" applyFill="1" applyBorder="1" applyAlignment="1" applyProtection="1">
      <alignment horizontal="left" vertical="center" wrapText="1"/>
    </xf>
    <xf numFmtId="0" fontId="75" fillId="0" borderId="111" xfId="0" applyFont="1" applyBorder="1" applyAlignment="1">
      <alignment vertical="center" wrapText="1"/>
    </xf>
    <xf numFmtId="0" fontId="75" fillId="0" borderId="112" xfId="0" applyFont="1" applyBorder="1" applyAlignment="1">
      <alignment vertical="center" wrapText="1"/>
    </xf>
    <xf numFmtId="0" fontId="71" fillId="24" borderId="109" xfId="34" applyFont="1" applyFill="1" applyBorder="1" applyAlignment="1">
      <alignment horizontal="left" vertical="center"/>
    </xf>
    <xf numFmtId="0" fontId="71" fillId="24" borderId="109" xfId="41" applyFont="1" applyFill="1" applyBorder="1" applyAlignment="1">
      <alignment horizontal="left" vertical="center"/>
    </xf>
    <xf numFmtId="0" fontId="75" fillId="31" borderId="113" xfId="0" applyFont="1" applyFill="1" applyBorder="1" applyAlignment="1">
      <alignment vertical="center" wrapText="1"/>
    </xf>
    <xf numFmtId="0" fontId="75" fillId="0" borderId="114" xfId="0" applyFont="1" applyBorder="1">
      <alignment vertical="center"/>
    </xf>
    <xf numFmtId="0" fontId="73" fillId="24" borderId="109" xfId="41" applyFont="1" applyFill="1" applyBorder="1" applyAlignment="1">
      <alignment horizontal="left" vertical="center"/>
    </xf>
    <xf numFmtId="0" fontId="24" fillId="24" borderId="115" xfId="41" applyFont="1" applyFill="1" applyBorder="1" applyAlignment="1">
      <alignment horizontal="left" vertical="center"/>
    </xf>
    <xf numFmtId="0" fontId="77" fillId="24" borderId="110" xfId="34" applyNumberFormat="1" applyFont="1" applyFill="1" applyBorder="1" applyAlignment="1" applyProtection="1">
      <alignment horizontal="left" vertical="center" wrapText="1"/>
    </xf>
    <xf numFmtId="0" fontId="76" fillId="0" borderId="116" xfId="0" applyFont="1" applyBorder="1">
      <alignment vertical="center"/>
    </xf>
    <xf numFmtId="1" fontId="24" fillId="24" borderId="117" xfId="41" applyNumberFormat="1" applyFont="1" applyFill="1" applyBorder="1" applyAlignment="1">
      <alignment horizontal="center" vertical="center"/>
    </xf>
    <xf numFmtId="49" fontId="24" fillId="24" borderId="23" xfId="41" applyNumberFormat="1" applyFont="1" applyFill="1" applyBorder="1" applyAlignment="1">
      <alignment horizontal="left" vertical="center"/>
    </xf>
    <xf numFmtId="1" fontId="24" fillId="24" borderId="118" xfId="41" applyNumberFormat="1" applyFont="1" applyFill="1" applyBorder="1" applyAlignment="1">
      <alignment vertical="center" wrapText="1"/>
    </xf>
    <xf numFmtId="1" fontId="24" fillId="24" borderId="118" xfId="41" applyNumberFormat="1" applyFont="1" applyFill="1" applyBorder="1" applyAlignment="1">
      <alignment vertical="center"/>
    </xf>
    <xf numFmtId="1" fontId="24" fillId="24" borderId="111" xfId="41" applyNumberFormat="1" applyFont="1" applyFill="1" applyBorder="1" applyAlignment="1">
      <alignment vertical="center"/>
    </xf>
    <xf numFmtId="1" fontId="24" fillId="24" borderId="114" xfId="41" applyNumberFormat="1" applyFont="1" applyFill="1" applyBorder="1" applyAlignment="1">
      <alignment vertical="center"/>
    </xf>
    <xf numFmtId="1" fontId="24" fillId="24" borderId="119" xfId="41" applyNumberFormat="1" applyFont="1" applyFill="1" applyBorder="1" applyAlignment="1">
      <alignment vertical="center"/>
    </xf>
    <xf numFmtId="14" fontId="45" fillId="0" borderId="16" xfId="41" applyNumberFormat="1" applyFont="1" applyBorder="1" applyAlignment="1">
      <alignment vertical="top" wrapText="1"/>
    </xf>
    <xf numFmtId="15" fontId="24" fillId="0" borderId="15" xfId="41" applyNumberFormat="1" applyFont="1" applyBorder="1" applyAlignment="1">
      <alignment vertical="top" wrapText="1"/>
    </xf>
    <xf numFmtId="0" fontId="24" fillId="24" borderId="15" xfId="41" applyNumberFormat="1" applyFont="1" applyFill="1" applyBorder="1" applyAlignment="1">
      <alignment horizontal="center" wrapText="1"/>
    </xf>
    <xf numFmtId="0" fontId="24" fillId="24" borderId="1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49" fontId="78" fillId="24" borderId="15" xfId="34" applyNumberFormat="1" applyFont="1" applyFill="1" applyBorder="1"/>
    <xf numFmtId="0" fontId="79" fillId="0" borderId="0" xfId="34" applyFont="1" applyFill="1" applyAlignment="1">
      <alignment vertical="center"/>
    </xf>
    <xf numFmtId="0" fontId="35" fillId="0" borderId="0" xfId="41" applyFont="1" applyAlignment="1">
      <alignment horizontal="right"/>
    </xf>
    <xf numFmtId="0" fontId="55" fillId="30" borderId="0" xfId="41" applyFont="1" applyFill="1" applyBorder="1" applyAlignment="1">
      <alignment vertical="top" textRotation="180"/>
    </xf>
    <xf numFmtId="0" fontId="39" fillId="0" borderId="0" xfId="41" applyFont="1" applyBorder="1" applyAlignment="1">
      <alignment horizontal="center"/>
    </xf>
    <xf numFmtId="0" fontId="41" fillId="0" borderId="0" xfId="41" applyFont="1" applyBorder="1" applyAlignment="1">
      <alignment horizontal="center"/>
    </xf>
    <xf numFmtId="165" fontId="35" fillId="0" borderId="0" xfId="41" applyNumberFormat="1" applyFont="1" applyBorder="1" applyAlignment="1">
      <alignment vertical="top" textRotation="255"/>
    </xf>
    <xf numFmtId="0" fontId="35" fillId="0" borderId="0" xfId="41" applyFont="1" applyBorder="1" applyAlignment="1">
      <alignment textRotation="255"/>
    </xf>
    <xf numFmtId="0" fontId="39" fillId="0" borderId="29" xfId="41" applyFont="1" applyBorder="1" applyAlignment="1">
      <alignment horizontal="center"/>
    </xf>
    <xf numFmtId="0" fontId="39" fillId="0" borderId="34" xfId="41" applyFont="1" applyBorder="1" applyAlignment="1">
      <alignment horizontal="center"/>
    </xf>
    <xf numFmtId="0" fontId="39" fillId="0" borderId="105" xfId="41" applyFont="1" applyBorder="1" applyAlignment="1">
      <alignment horizontal="center"/>
    </xf>
    <xf numFmtId="0" fontId="39" fillId="0" borderId="39" xfId="41" applyFont="1" applyBorder="1" applyAlignment="1">
      <alignment horizontal="center"/>
    </xf>
    <xf numFmtId="0" fontId="39" fillId="0" borderId="49" xfId="41" applyFont="1" applyBorder="1" applyAlignment="1">
      <alignment horizontal="center"/>
    </xf>
    <xf numFmtId="0" fontId="41" fillId="0" borderId="95" xfId="41" applyFont="1" applyBorder="1" applyAlignment="1">
      <alignment horizontal="center"/>
    </xf>
    <xf numFmtId="0" fontId="41" fillId="0" borderId="29" xfId="41" applyFont="1" applyBorder="1" applyAlignment="1">
      <alignment horizontal="center"/>
    </xf>
    <xf numFmtId="0" fontId="35" fillId="0" borderId="34" xfId="41" applyFont="1" applyBorder="1" applyAlignment="1">
      <alignment textRotation="255"/>
    </xf>
    <xf numFmtId="0" fontId="39" fillId="0" borderId="97" xfId="41" applyFont="1" applyBorder="1" applyAlignment="1">
      <alignment horizontal="center"/>
    </xf>
    <xf numFmtId="0" fontId="41" fillId="0" borderId="97" xfId="41" applyFont="1" applyBorder="1" applyAlignment="1">
      <alignment horizontal="center"/>
    </xf>
    <xf numFmtId="0" fontId="35" fillId="0" borderId="97" xfId="41" applyFont="1" applyBorder="1" applyAlignment="1">
      <alignment textRotation="255"/>
    </xf>
    <xf numFmtId="0" fontId="35" fillId="27" borderId="120" xfId="41" applyFont="1" applyFill="1" applyBorder="1" applyAlignment="1">
      <alignment horizontal="right" vertical="top"/>
    </xf>
    <xf numFmtId="0" fontId="35" fillId="28" borderId="29" xfId="41" applyFont="1" applyFill="1" applyBorder="1" applyAlignment="1">
      <alignment horizontal="left"/>
    </xf>
    <xf numFmtId="0" fontId="61" fillId="0" borderId="107" xfId="41" applyFont="1" applyBorder="1" applyAlignment="1">
      <alignment horizontal="center"/>
    </xf>
    <xf numFmtId="0" fontId="61" fillId="0" borderId="121" xfId="41" applyFont="1" applyBorder="1" applyAlignment="1">
      <alignment horizontal="center"/>
    </xf>
    <xf numFmtId="0" fontId="35" fillId="0" borderId="97" xfId="41" applyFont="1" applyBorder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35" fillId="24" borderId="46" xfId="41" applyFont="1" applyFill="1" applyBorder="1" applyAlignment="1">
      <alignment horizontal="center" vertical="center"/>
    </xf>
    <xf numFmtId="0" fontId="38" fillId="24" borderId="48" xfId="39" applyFont="1" applyFill="1" applyBorder="1" applyAlignment="1">
      <alignment horizontal="left" wrapText="1"/>
    </xf>
    <xf numFmtId="0" fontId="35" fillId="0" borderId="52" xfId="42" applyFont="1" applyFill="1" applyBorder="1" applyAlignment="1">
      <alignment horizontal="left"/>
    </xf>
    <xf numFmtId="0" fontId="38" fillId="24" borderId="48" xfId="40" applyFont="1" applyFill="1" applyBorder="1" applyAlignment="1">
      <alignment horizontal="left" wrapText="1"/>
    </xf>
    <xf numFmtId="0" fontId="35" fillId="0" borderId="0" xfId="41" applyFont="1" applyAlignment="1">
      <alignment horizontal="right"/>
    </xf>
    <xf numFmtId="0" fontId="35" fillId="0" borderId="52" xfId="41" applyFont="1" applyBorder="1" applyAlignment="1">
      <alignment horizontal="left"/>
    </xf>
    <xf numFmtId="0" fontId="35" fillId="0" borderId="0" xfId="41" applyFont="1" applyBorder="1" applyAlignment="1">
      <alignment horizontal="right"/>
    </xf>
    <xf numFmtId="0" fontId="35" fillId="0" borderId="52" xfId="41" applyFont="1" applyFill="1" applyBorder="1" applyAlignment="1">
      <alignment horizontal="left"/>
    </xf>
    <xf numFmtId="0" fontId="35" fillId="0" borderId="122" xfId="41" applyFont="1" applyBorder="1" applyAlignment="1">
      <alignment horizontal="right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123" xfId="41" applyFont="1" applyFill="1" applyBorder="1" applyAlignment="1">
      <alignment horizontal="right"/>
    </xf>
    <xf numFmtId="0" fontId="35" fillId="27" borderId="106" xfId="41" applyFont="1" applyFill="1" applyBorder="1" applyAlignment="1">
      <alignment horizontal="right"/>
    </xf>
    <xf numFmtId="0" fontId="35" fillId="27" borderId="124" xfId="41" applyFont="1" applyFill="1" applyBorder="1" applyAlignment="1">
      <alignment horizontal="right" vertical="top"/>
    </xf>
    <xf numFmtId="0" fontId="35" fillId="27" borderId="123" xfId="41" applyFont="1" applyFill="1" applyBorder="1" applyAlignment="1">
      <alignment horizontal="right" vertical="top"/>
    </xf>
    <xf numFmtId="0" fontId="65" fillId="0" borderId="42" xfId="41" applyFont="1" applyBorder="1" applyAlignment="1">
      <alignment horizontal="center"/>
    </xf>
    <xf numFmtId="0" fontId="24" fillId="24" borderId="118" xfId="41" applyFont="1" applyFill="1" applyBorder="1" applyAlignment="1">
      <alignment horizontal="center"/>
    </xf>
    <xf numFmtId="0" fontId="24" fillId="24" borderId="110" xfId="41" applyFont="1" applyFill="1" applyBorder="1" applyAlignment="1">
      <alignment horizontal="center" wrapText="1"/>
    </xf>
    <xf numFmtId="0" fontId="24" fillId="24" borderId="110" xfId="41" applyFont="1" applyFill="1" applyBorder="1" applyAlignment="1">
      <alignment horizontal="center"/>
    </xf>
    <xf numFmtId="0" fontId="24" fillId="24" borderId="125" xfId="41" applyFont="1" applyFill="1" applyBorder="1" applyAlignment="1">
      <alignment horizontal="center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8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45" fillId="24" borderId="43" xfId="38" applyFont="1" applyFill="1" applyBorder="1" applyAlignment="1">
      <alignment vertical="top"/>
    </xf>
    <xf numFmtId="0" fontId="23" fillId="24" borderId="0" xfId="38" applyFont="1" applyFill="1" applyBorder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0" fontId="35" fillId="0" borderId="33" xfId="41" applyFont="1" applyBorder="1" applyAlignment="1">
      <alignment horizontal="left" vertical="top"/>
    </xf>
    <xf numFmtId="0" fontId="35" fillId="24" borderId="88" xfId="41" applyFont="1" applyFill="1" applyBorder="1" applyAlignment="1">
      <alignment horizontal="center" vertical="center"/>
    </xf>
    <xf numFmtId="0" fontId="35" fillId="24" borderId="87" xfId="41" applyFont="1" applyFill="1" applyBorder="1" applyAlignment="1">
      <alignment horizontal="center" vertical="center"/>
    </xf>
    <xf numFmtId="0" fontId="35" fillId="0" borderId="38" xfId="41" applyFont="1" applyBorder="1" applyAlignment="1">
      <alignment horizontal="left" vertical="top"/>
    </xf>
    <xf numFmtId="0" fontId="35" fillId="0" borderId="95" xfId="41" applyFont="1" applyFill="1" applyBorder="1" applyAlignment="1">
      <alignment horizontal="left"/>
    </xf>
    <xf numFmtId="0" fontId="35" fillId="0" borderId="65" xfId="41" applyFont="1" applyFill="1" applyBorder="1" applyAlignment="1">
      <alignment horizontal="left"/>
    </xf>
    <xf numFmtId="0" fontId="35" fillId="0" borderId="96" xfId="41" applyFont="1" applyFill="1" applyBorder="1" applyAlignment="1">
      <alignment horizontal="left"/>
    </xf>
    <xf numFmtId="0" fontId="38" fillId="24" borderId="74" xfId="39" applyFont="1" applyFill="1" applyBorder="1" applyAlignment="1">
      <alignment horizontal="left" wrapText="1"/>
    </xf>
    <xf numFmtId="0" fontId="38" fillId="24" borderId="44" xfId="39" applyFont="1" applyFill="1" applyBorder="1" applyAlignment="1">
      <alignment horizontal="left" wrapText="1"/>
    </xf>
    <xf numFmtId="0" fontId="38" fillId="24" borderId="75" xfId="39" applyFont="1" applyFill="1" applyBorder="1" applyAlignment="1">
      <alignment horizontal="left" wrapText="1"/>
    </xf>
    <xf numFmtId="0" fontId="36" fillId="24" borderId="89" xfId="39" applyFont="1" applyFill="1" applyBorder="1" applyAlignment="1">
      <alignment horizontal="left" wrapText="1"/>
    </xf>
    <xf numFmtId="0" fontId="36" fillId="24" borderId="90" xfId="39" applyFont="1" applyFill="1" applyBorder="1" applyAlignment="1">
      <alignment horizontal="left" wrapText="1"/>
    </xf>
    <xf numFmtId="0" fontId="36" fillId="24" borderId="76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6" fillId="24" borderId="76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5" fillId="0" borderId="33" xfId="41" applyFont="1" applyBorder="1" applyAlignment="1">
      <alignment horizontal="left"/>
    </xf>
    <xf numFmtId="0" fontId="36" fillId="24" borderId="91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79" xfId="41" applyFont="1" applyFill="1" applyBorder="1" applyAlignment="1">
      <alignment horizontal="center" vertical="center"/>
    </xf>
    <xf numFmtId="0" fontId="35" fillId="24" borderId="80" xfId="41" applyFont="1" applyFill="1" applyBorder="1" applyAlignment="1">
      <alignment horizontal="center" vertical="center"/>
    </xf>
    <xf numFmtId="49" fontId="60" fillId="24" borderId="92" xfId="39" applyNumberFormat="1" applyFont="1" applyFill="1" applyBorder="1" applyAlignment="1">
      <alignment horizontal="left" wrapText="1"/>
    </xf>
    <xf numFmtId="49" fontId="60" fillId="24" borderId="93" xfId="39" applyNumberFormat="1" applyFont="1" applyFill="1" applyBorder="1" applyAlignment="1">
      <alignment horizontal="left" wrapText="1"/>
    </xf>
    <xf numFmtId="49" fontId="60" fillId="24" borderId="94" xfId="39" applyNumberFormat="1" applyFont="1" applyFill="1" applyBorder="1" applyAlignment="1">
      <alignment horizontal="left" wrapText="1"/>
    </xf>
    <xf numFmtId="49" fontId="58" fillId="24" borderId="47" xfId="39" applyNumberFormat="1" applyFont="1" applyFill="1" applyBorder="1" applyAlignment="1">
      <alignment horizontal="left" wrapText="1"/>
    </xf>
    <xf numFmtId="0" fontId="59" fillId="0" borderId="47" xfId="0" applyFont="1" applyBorder="1" applyAlignment="1">
      <alignment vertical="center"/>
    </xf>
    <xf numFmtId="0" fontId="36" fillId="24" borderId="67" xfId="41" applyFont="1" applyFill="1" applyBorder="1" applyAlignment="1">
      <alignment horizontal="center" vertical="center" wrapText="1"/>
    </xf>
    <xf numFmtId="0" fontId="36" fillId="24" borderId="48" xfId="41" applyFont="1" applyFill="1" applyBorder="1" applyAlignment="1">
      <alignment horizontal="center" vertical="center" wrapText="1"/>
    </xf>
    <xf numFmtId="0" fontId="36" fillId="24" borderId="68" xfId="41" applyFont="1" applyFill="1" applyBorder="1" applyAlignment="1">
      <alignment horizontal="center" vertical="center" wrapText="1"/>
    </xf>
    <xf numFmtId="0" fontId="38" fillId="24" borderId="67" xfId="39" applyFont="1" applyFill="1" applyBorder="1" applyAlignment="1">
      <alignment horizontal="left" wrapText="1"/>
    </xf>
    <xf numFmtId="0" fontId="38" fillId="24" borderId="48" xfId="39" applyFont="1" applyFill="1" applyBorder="1" applyAlignment="1">
      <alignment horizontal="left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24" borderId="67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72" xfId="39" applyFont="1" applyFill="1" applyBorder="1" applyAlignment="1">
      <alignment horizontal="center" wrapText="1"/>
    </xf>
    <xf numFmtId="0" fontId="36" fillId="24" borderId="73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85" xfId="41" applyFont="1" applyFill="1" applyBorder="1" applyAlignment="1">
      <alignment horizontal="center" vertical="center"/>
    </xf>
    <xf numFmtId="0" fontId="35" fillId="24" borderId="86" xfId="41" applyFont="1" applyFill="1" applyBorder="1" applyAlignment="1">
      <alignment horizontal="center" vertical="center"/>
    </xf>
    <xf numFmtId="0" fontId="38" fillId="24" borderId="77" xfId="39" applyFont="1" applyFill="1" applyBorder="1" applyAlignment="1">
      <alignment horizontal="left" wrapText="1"/>
    </xf>
    <xf numFmtId="0" fontId="38" fillId="24" borderId="78" xfId="39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Fill="1" applyBorder="1" applyAlignment="1">
      <alignment horizontal="left"/>
    </xf>
    <xf numFmtId="0" fontId="38" fillId="24" borderId="74" xfId="40" applyFont="1" applyFill="1" applyBorder="1" applyAlignment="1">
      <alignment horizontal="left" wrapText="1"/>
    </xf>
    <xf numFmtId="0" fontId="38" fillId="24" borderId="44" xfId="40" applyFont="1" applyFill="1" applyBorder="1" applyAlignment="1">
      <alignment horizontal="left" wrapText="1"/>
    </xf>
    <xf numFmtId="0" fontId="38" fillId="24" borderId="75" xfId="40" applyFont="1" applyFill="1" applyBorder="1" applyAlignment="1">
      <alignment horizontal="left" wrapText="1"/>
    </xf>
    <xf numFmtId="0" fontId="35" fillId="0" borderId="0" xfId="42" applyFont="1" applyBorder="1" applyAlignment="1">
      <alignment horizontal="right"/>
    </xf>
    <xf numFmtId="0" fontId="36" fillId="24" borderId="76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6" fillId="24" borderId="76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8" fillId="24" borderId="77" xfId="40" applyFont="1" applyFill="1" applyBorder="1" applyAlignment="1">
      <alignment horizontal="left" wrapText="1"/>
    </xf>
    <xf numFmtId="0" fontId="38" fillId="24" borderId="78" xfId="40" applyFont="1" applyFill="1" applyBorder="1" applyAlignment="1">
      <alignment horizontal="left" wrapText="1"/>
    </xf>
    <xf numFmtId="0" fontId="36" fillId="24" borderId="48" xfId="42" applyFont="1" applyFill="1" applyBorder="1" applyAlignment="1">
      <alignment horizontal="center" vertical="center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79" xfId="42" applyFont="1" applyFill="1" applyBorder="1" applyAlignment="1">
      <alignment horizontal="center" vertical="center"/>
    </xf>
    <xf numFmtId="0" fontId="35" fillId="24" borderId="80" xfId="42" applyFont="1" applyFill="1" applyBorder="1" applyAlignment="1">
      <alignment horizontal="center" vertical="center"/>
    </xf>
    <xf numFmtId="0" fontId="35" fillId="24" borderId="85" xfId="42" applyFont="1" applyFill="1" applyBorder="1" applyAlignment="1">
      <alignment horizontal="center" vertical="center"/>
    </xf>
    <xf numFmtId="0" fontId="35" fillId="24" borderId="86" xfId="42" applyFont="1" applyFill="1" applyBorder="1" applyAlignment="1">
      <alignment horizontal="center" vertical="center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87" xfId="42" applyFont="1" applyFill="1" applyBorder="1" applyAlignment="1">
      <alignment horizontal="center" vertical="center"/>
    </xf>
    <xf numFmtId="0" fontId="35" fillId="24" borderId="88" xfId="42" applyFont="1" applyFill="1" applyBorder="1" applyAlignment="1">
      <alignment horizontal="center" vertical="center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49" fontId="38" fillId="24" borderId="92" xfId="39" applyNumberFormat="1" applyFont="1" applyFill="1" applyBorder="1" applyAlignment="1">
      <alignment horizontal="left" wrapText="1"/>
    </xf>
    <xf numFmtId="49" fontId="38" fillId="24" borderId="93" xfId="39" applyNumberFormat="1" applyFont="1" applyFill="1" applyBorder="1" applyAlignment="1">
      <alignment horizontal="left" wrapText="1"/>
    </xf>
    <xf numFmtId="49" fontId="38" fillId="24" borderId="94" xfId="39" applyNumberFormat="1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0" fontId="34" fillId="0" borderId="47" xfId="0" applyFont="1" applyBorder="1" applyAlignment="1">
      <alignment vertical="center"/>
    </xf>
    <xf numFmtId="0" fontId="36" fillId="24" borderId="73" xfId="42" applyFont="1" applyFill="1" applyBorder="1" applyAlignment="1">
      <alignment horizontal="center" vertical="center" wrapText="1"/>
    </xf>
    <xf numFmtId="0" fontId="36" fillId="24" borderId="67" xfId="42" applyFont="1" applyFill="1" applyBorder="1" applyAlignment="1">
      <alignment horizontal="center" vertical="center" wrapText="1"/>
    </xf>
    <xf numFmtId="0" fontId="36" fillId="24" borderId="68" xfId="42" applyFont="1" applyFill="1" applyBorder="1" applyAlignment="1">
      <alignment horizontal="center" vertical="center" wrapText="1"/>
    </xf>
    <xf numFmtId="0" fontId="35" fillId="24" borderId="67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72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0" fontId="34" fillId="0" borderId="101" xfId="0" applyFont="1" applyBorder="1" applyAlignment="1">
      <alignment vertical="center"/>
    </xf>
    <xf numFmtId="0" fontId="36" fillId="24" borderId="92" xfId="39" applyFont="1" applyFill="1" applyBorder="1" applyAlignment="1">
      <alignment horizontal="left" wrapText="1"/>
    </xf>
    <xf numFmtId="0" fontId="36" fillId="24" borderId="93" xfId="39" applyFont="1" applyFill="1" applyBorder="1" applyAlignment="1">
      <alignment horizontal="left" wrapText="1"/>
    </xf>
    <xf numFmtId="0" fontId="36" fillId="24" borderId="101" xfId="39" applyFont="1" applyFill="1" applyBorder="1" applyAlignment="1">
      <alignment horizontal="left" wrapText="1"/>
    </xf>
    <xf numFmtId="0" fontId="36" fillId="24" borderId="98" xfId="40" applyFont="1" applyFill="1" applyBorder="1" applyAlignment="1">
      <alignment horizontal="left" wrapText="1"/>
    </xf>
    <xf numFmtId="0" fontId="36" fillId="24" borderId="99" xfId="40" applyFont="1" applyFill="1" applyBorder="1" applyAlignment="1">
      <alignment horizontal="left" wrapText="1"/>
    </xf>
    <xf numFmtId="0" fontId="36" fillId="24" borderId="100" xfId="40" applyFont="1" applyFill="1" applyBorder="1" applyAlignment="1">
      <alignment horizontal="left" wrapText="1"/>
    </xf>
    <xf numFmtId="0" fontId="38" fillId="24" borderId="67" xfId="40" applyFont="1" applyFill="1" applyBorder="1" applyAlignment="1">
      <alignment horizontal="left" wrapText="1"/>
    </xf>
    <xf numFmtId="0" fontId="38" fillId="24" borderId="48" xfId="40" applyFont="1" applyFill="1" applyBorder="1" applyAlignment="1">
      <alignment horizontal="left" wrapText="1"/>
    </xf>
    <xf numFmtId="0" fontId="38" fillId="24" borderId="45" xfId="40" applyFont="1" applyFill="1" applyBorder="1" applyAlignment="1">
      <alignment horizontal="left" wrapText="1"/>
    </xf>
    <xf numFmtId="0" fontId="35" fillId="0" borderId="0" xfId="41" applyFont="1" applyAlignment="1">
      <alignment horizontal="right"/>
    </xf>
    <xf numFmtId="0" fontId="35" fillId="0" borderId="52" xfId="41" applyFont="1" applyBorder="1" applyAlignment="1">
      <alignment horizontal="left"/>
    </xf>
    <xf numFmtId="0" fontId="36" fillId="24" borderId="81" xfId="39" applyFont="1" applyFill="1" applyBorder="1" applyAlignment="1">
      <alignment horizontal="left" wrapText="1"/>
    </xf>
    <xf numFmtId="0" fontId="36" fillId="24" borderId="70" xfId="39" applyFont="1" applyFill="1" applyBorder="1" applyAlignment="1">
      <alignment horizontal="left" wrapText="1"/>
    </xf>
    <xf numFmtId="49" fontId="38" fillId="24" borderId="69" xfId="39" applyNumberFormat="1" applyFont="1" applyFill="1" applyBorder="1" applyAlignment="1">
      <alignment horizontal="left" wrapText="1"/>
    </xf>
    <xf numFmtId="0" fontId="38" fillId="24" borderId="70" xfId="39" applyFont="1" applyFill="1" applyBorder="1" applyAlignment="1">
      <alignment horizontal="left" wrapText="1"/>
    </xf>
    <xf numFmtId="0" fontId="38" fillId="24" borderId="82" xfId="39" applyFont="1" applyFill="1" applyBorder="1" applyAlignment="1">
      <alignment horizontal="left" wrapText="1"/>
    </xf>
    <xf numFmtId="0" fontId="36" fillId="24" borderId="83" xfId="39" applyFont="1" applyFill="1" applyBorder="1" applyAlignment="1">
      <alignment horizontal="left" wrapText="1"/>
    </xf>
    <xf numFmtId="0" fontId="36" fillId="24" borderId="84" xfId="39" applyFont="1" applyFill="1" applyBorder="1" applyAlignment="1">
      <alignment horizontal="left" wrapText="1"/>
    </xf>
    <xf numFmtId="49" fontId="35" fillId="24" borderId="69" xfId="39" applyNumberFormat="1" applyFont="1" applyFill="1" applyBorder="1" applyAlignment="1">
      <alignment horizontal="center" wrapText="1"/>
    </xf>
    <xf numFmtId="0" fontId="35" fillId="24" borderId="70" xfId="39" applyFont="1" applyFill="1" applyBorder="1" applyAlignment="1">
      <alignment horizontal="center" wrapText="1"/>
    </xf>
    <xf numFmtId="0" fontId="35" fillId="24" borderId="71" xfId="39" applyFont="1" applyFill="1" applyBorder="1" applyAlignment="1">
      <alignment horizontal="center" wrapText="1"/>
    </xf>
    <xf numFmtId="0" fontId="35" fillId="0" borderId="0" xfId="41" applyFont="1" applyBorder="1" applyAlignment="1">
      <alignment horizontal="right"/>
    </xf>
    <xf numFmtId="0" fontId="35" fillId="0" borderId="52" xfId="41" applyFont="1" applyFill="1" applyBorder="1" applyAlignment="1">
      <alignment horizontal="left"/>
    </xf>
    <xf numFmtId="0" fontId="38" fillId="24" borderId="102" xfId="39" applyFont="1" applyFill="1" applyBorder="1" applyAlignment="1">
      <alignment horizontal="left" wrapText="1"/>
    </xf>
    <xf numFmtId="0" fontId="38" fillId="24" borderId="103" xfId="39" applyFont="1" applyFill="1" applyBorder="1" applyAlignment="1">
      <alignment horizontal="left" wrapText="1"/>
    </xf>
    <xf numFmtId="0" fontId="38" fillId="24" borderId="104" xfId="39" applyFont="1" applyFill="1" applyBorder="1" applyAlignment="1">
      <alignment horizontal="left" wrapText="1"/>
    </xf>
    <xf numFmtId="0" fontId="24" fillId="24" borderId="126" xfId="41" applyFont="1" applyFill="1" applyBorder="1" applyAlignment="1">
      <alignment horizontal="center"/>
    </xf>
    <xf numFmtId="0" fontId="24" fillId="24" borderId="118" xfId="41" applyFont="1" applyFill="1" applyBorder="1" applyAlignment="1">
      <alignment horizontal="center" wrapText="1"/>
    </xf>
    <xf numFmtId="49" fontId="46" fillId="24" borderId="110" xfId="34" applyNumberFormat="1" applyFont="1" applyFill="1" applyBorder="1" applyAlignment="1"/>
    <xf numFmtId="49" fontId="46" fillId="24" borderId="127" xfId="34" applyNumberFormat="1" applyFont="1" applyFill="1" applyBorder="1" applyAlignment="1"/>
    <xf numFmtId="49" fontId="46" fillId="24" borderId="128" xfId="34" applyNumberFormat="1" applyFont="1" applyFill="1" applyBorder="1" applyAlignment="1"/>
    <xf numFmtId="0" fontId="24" fillId="24" borderId="129" xfId="41" applyFont="1" applyFill="1" applyBorder="1" applyAlignment="1">
      <alignment horizontal="center"/>
    </xf>
    <xf numFmtId="0" fontId="24" fillId="24" borderId="130" xfId="41" applyFont="1" applyFill="1" applyBorder="1" applyAlignment="1">
      <alignment horizontal="center"/>
    </xf>
    <xf numFmtId="0" fontId="32" fillId="25" borderId="115" xfId="41" applyFont="1" applyFill="1" applyBorder="1" applyAlignment="1">
      <alignment horizontal="center"/>
    </xf>
    <xf numFmtId="0" fontId="24" fillId="24" borderId="127" xfId="41" applyFont="1" applyFill="1" applyBorder="1" applyAlignment="1">
      <alignment horizontal="center"/>
    </xf>
    <xf numFmtId="0" fontId="24" fillId="24" borderId="131" xfId="41" applyFont="1" applyFill="1" applyBorder="1" applyAlignment="1">
      <alignment horizontal="center"/>
    </xf>
    <xf numFmtId="0" fontId="24" fillId="24" borderId="132" xfId="41" applyFont="1" applyFill="1" applyBorder="1" applyAlignment="1">
      <alignment horizontal="center"/>
    </xf>
    <xf numFmtId="1" fontId="24" fillId="24" borderId="133" xfId="41" applyNumberFormat="1" applyFont="1" applyFill="1" applyBorder="1" applyAlignment="1">
      <alignment horizontal="center" vertical="center"/>
    </xf>
    <xf numFmtId="49" fontId="24" fillId="24" borderId="110" xfId="41" applyNumberFormat="1" applyFont="1" applyFill="1" applyBorder="1" applyAlignment="1">
      <alignment horizontal="left" vertical="center"/>
    </xf>
    <xf numFmtId="49" fontId="24" fillId="24" borderId="110" xfId="41" applyNumberFormat="1" applyFont="1" applyFill="1" applyBorder="1" applyAlignment="1">
      <alignment horizontal="left" vertical="center" wrapText="1"/>
    </xf>
    <xf numFmtId="0" fontId="73" fillId="24" borderId="130" xfId="41" applyFont="1" applyFill="1" applyBorder="1" applyAlignment="1">
      <alignment horizontal="left" vertical="center"/>
    </xf>
    <xf numFmtId="0" fontId="75" fillId="0" borderId="0" xfId="0" applyFont="1" applyBorder="1">
      <alignment vertical="center"/>
    </xf>
    <xf numFmtId="0" fontId="35" fillId="27" borderId="134" xfId="41" applyFont="1" applyFill="1" applyBorder="1" applyAlignment="1">
      <alignment horizontal="right" vertical="top"/>
    </xf>
    <xf numFmtId="0" fontId="35" fillId="0" borderId="122" xfId="41" applyFont="1" applyBorder="1" applyAlignment="1">
      <alignment horizontal="right"/>
    </xf>
    <xf numFmtId="0" fontId="35" fillId="27" borderId="135" xfId="41" applyFont="1" applyFill="1" applyBorder="1" applyAlignment="1">
      <alignment horizontal="right" vertical="top"/>
    </xf>
    <xf numFmtId="0" fontId="35" fillId="0" borderId="136" xfId="41" applyFont="1" applyBorder="1" applyAlignment="1">
      <alignment horizontal="right"/>
    </xf>
    <xf numFmtId="0" fontId="35" fillId="0" borderId="137" xfId="41" applyFont="1" applyBorder="1" applyAlignment="1">
      <alignment horizontal="right"/>
    </xf>
    <xf numFmtId="0" fontId="41" fillId="0" borderId="120" xfId="41" applyFont="1" applyBorder="1" applyAlignment="1">
      <alignment horizont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1D97938D-DCE0-408B-B5C5-F5958490F5BE}"/>
    <cellStyle name="Normal_Sheet1" xfId="39" xr:uid="{E2EDCA7E-3741-4BF5-A9B5-8B62CFDA4BF5}"/>
    <cellStyle name="Normal_Sheet1_Template_UnitTest Case_v0.9" xfId="40" xr:uid="{EA8A99F3-F2B0-4B6E-86BA-74EDD23BFC2A}"/>
    <cellStyle name="Normal_Template_UnitTest Case_v0.9" xfId="41" xr:uid="{B688CDE7-62BC-408A-9034-614C5D6D1362}"/>
    <cellStyle name="Normal_Template_UnitTest Case_v0.9_Template_UnitTest Case_v0.9" xfId="42" xr:uid="{8AFB8968-BBEA-4F44-BFBE-CDAAD1874438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 xr:uid="{ED3B0EBE-4F4B-4214-B1E8-4C4D1EF82D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08F-4B65-B4B8-A13B9063F7A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8F-4B65-B4B8-A13B9063F7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08F-4B65-B4B8-A13B9063F7A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Statistics!$F$21:$H$21</c:f>
              <c:numCache>
                <c:formatCode>General</c:formatCode>
                <c:ptCount val="3"/>
                <c:pt idx="0">
                  <c:v>19</c:v>
                </c:pt>
                <c:pt idx="1">
                  <c:v>23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8F-4B65-B4B8-A13B9063F7A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08F-4B65-B4B8-A13B9063F7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708F-4B65-B4B8-A13B9063F7A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08F-4B65-B4B8-A13B9063F7A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8F-4B65-B4B8-A13B9063F7A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08F-4B65-B4B8-A13B9063F7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708F-4B65-B4B8-A13B9063F7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708F-4B65-B4B8-A13B9063F7A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8F-4B65-B4B8-A13B9063F7A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08F-4B65-B4B8-A13B9063F7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708F-4B65-B4B8-A13B9063F7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708F-4B65-B4B8-A13B9063F7A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08F-4B65-B4B8-A13B9063F7A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Statistics!$F$21:$H$21</c:f>
              <c:numCache>
                <c:formatCode>General</c:formatCode>
                <c:ptCount val="3"/>
                <c:pt idx="0">
                  <c:v>19</c:v>
                </c:pt>
                <c:pt idx="1">
                  <c:v>23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08F-4B65-B4B8-A13B9063F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827040270533345"/>
          <c:y val="0.3945448269772594"/>
          <c:w val="9.6494224502842507E-2"/>
          <c:h val="0.316417138466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7C1-4A35-881A-417FE5F7282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C1-4A35-881A-417FE5F7282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7C1-4A35-881A-417FE5F7282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Statistics!$C$21:$E$21</c:f>
              <c:numCache>
                <c:formatCode>General</c:formatCode>
                <c:ptCount val="3"/>
                <c:pt idx="0">
                  <c:v>59</c:v>
                </c:pt>
                <c:pt idx="1">
                  <c:v>0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C1-4A35-881A-417FE5F7282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7C1-4A35-881A-417FE5F7282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A7C1-4A35-881A-417FE5F7282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7C1-4A35-881A-417FE5F7282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C1-4A35-881A-417FE5F72823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7C1-4A35-881A-417FE5F7282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A7C1-4A35-881A-417FE5F7282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A7C1-4A35-881A-417FE5F7282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C1-4A35-881A-417FE5F72823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7C1-4A35-881A-417FE5F7282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A7C1-4A35-881A-417FE5F7282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A7C1-4A35-881A-417FE5F7282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C1-4A35-881A-417FE5F72823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Statistics!$C$21:$E$21</c:f>
              <c:numCache>
                <c:formatCode>General</c:formatCode>
                <c:ptCount val="3"/>
                <c:pt idx="0">
                  <c:v>59</c:v>
                </c:pt>
                <c:pt idx="1">
                  <c:v>0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7C1-4A35-881A-417FE5F72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728762139900741"/>
          <c:y val="0.43652139905289244"/>
          <c:w val="0.21739815939638543"/>
          <c:h val="0.301596602981998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0</xdr:col>
      <xdr:colOff>1866900</xdr:colOff>
      <xdr:row>1</xdr:row>
      <xdr:rowOff>781050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D5704C99-DAEF-FC2B-DB4C-7C865FAF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8669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29</xdr:row>
      <xdr:rowOff>0</xdr:rowOff>
    </xdr:from>
    <xdr:to>
      <xdr:col>9</xdr:col>
      <xdr:colOff>114300</xdr:colOff>
      <xdr:row>44</xdr:row>
      <xdr:rowOff>9525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791FC4E0-1A7A-F1F8-84AE-73C766A9A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28</xdr:row>
      <xdr:rowOff>28575</xdr:rowOff>
    </xdr:from>
    <xdr:to>
      <xdr:col>3</xdr:col>
      <xdr:colOff>209550</xdr:colOff>
      <xdr:row>43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AA7EEE37-EE4B-D434-9582-68ADDAA92309}"/>
            </a:ext>
            <a:ext uri="{147F2762-F138-4A5C-976F-8EAC2B608ADB}">
              <a16:predDERef xmlns:a16="http://schemas.microsoft.com/office/drawing/2014/main" pred="{791FC4E0-1A7A-F1F8-84AE-73C766A9A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tion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/" TargetMode="External"/><Relationship Id="rId1" Type="http://schemas.openxmlformats.org/officeDocument/2006/relationships/hyperlink" Target="https://onedrive.live.com/:x:/g/personal/776386985BACB9CB/IQAtHpzDtRD-Tr-yBPISn4bRAUJ0CDJOJX9Dq6SgUI9Jy6g?resid=776386985BACB9CB!sc39c1e2d10b54efebfb204f2129f86d1&amp;ithint=file%2Cxlsx&amp;e=RdvqHc&amp;migratedtospo=true&amp;redeem=aHR0cHM6Ly8xZHJ2Lm1zL3gvYy83NzYzODY5ODViYWNiOWNiL0lRQXRIcHpEdFJELVRyLXlCUElTbjRiUkFVSjBDREpPSlg5RHE2U2dVSTlKeTZnP2U9UmR2cUhj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FB1C-F31B-4EBF-A96F-98ED97A7ED54}">
  <dimension ref="A1:D49"/>
  <sheetViews>
    <sheetView zoomScale="85" zoomScaleNormal="85" workbookViewId="0"/>
  </sheetViews>
  <sheetFormatPr defaultColWidth="9" defaultRowHeight="14.25"/>
  <cols>
    <col min="1" max="1" width="119.28515625" style="157" customWidth="1"/>
    <col min="2" max="16384" width="9" style="157"/>
  </cols>
  <sheetData>
    <row r="1" spans="1:1" s="154" customFormat="1" ht="22.5">
      <c r="A1" s="153" t="s">
        <v>0</v>
      </c>
    </row>
    <row r="2" spans="1:1" s="154" customFormat="1" ht="22.5">
      <c r="A2" s="153"/>
    </row>
    <row r="3" spans="1:1" s="155" customFormat="1" ht="18">
      <c r="A3" s="158" t="s">
        <v>1</v>
      </c>
    </row>
    <row r="4" spans="1:1" ht="15" customHeight="1">
      <c r="A4" s="161" t="s">
        <v>2</v>
      </c>
    </row>
    <row r="5" spans="1:1" ht="15" customHeight="1">
      <c r="A5" s="294" t="s">
        <v>3</v>
      </c>
    </row>
    <row r="6" spans="1:1" ht="38.25">
      <c r="A6" s="162" t="s">
        <v>4</v>
      </c>
    </row>
    <row r="7" spans="1:1" ht="29.25" customHeight="1">
      <c r="A7" s="162" t="s">
        <v>5</v>
      </c>
    </row>
    <row r="8" spans="1:1" ht="30" customHeight="1">
      <c r="A8" s="163" t="s">
        <v>6</v>
      </c>
    </row>
    <row r="9" spans="1:1" s="166" customFormat="1" ht="16.5" customHeight="1">
      <c r="A9" s="165" t="s">
        <v>7</v>
      </c>
    </row>
    <row r="10" spans="1:1" ht="16.5" customHeight="1">
      <c r="A10" s="156"/>
    </row>
    <row r="11" spans="1:1" s="155" customFormat="1" ht="18">
      <c r="A11" s="158" t="s">
        <v>8</v>
      </c>
    </row>
    <row r="12" spans="1:1" s="159" customFormat="1" ht="15">
      <c r="A12" s="164" t="s">
        <v>9</v>
      </c>
    </row>
    <row r="13" spans="1:1" ht="38.25">
      <c r="A13" s="161" t="s">
        <v>10</v>
      </c>
    </row>
    <row r="14" spans="1:1">
      <c r="A14" s="161" t="s">
        <v>11</v>
      </c>
    </row>
    <row r="15" spans="1:1" ht="25.5">
      <c r="A15" s="162" t="s">
        <v>12</v>
      </c>
    </row>
    <row r="16" spans="1:1">
      <c r="A16" s="156"/>
    </row>
    <row r="17" spans="1:4" s="159" customFormat="1" ht="15">
      <c r="A17" s="164" t="s">
        <v>13</v>
      </c>
    </row>
    <row r="18" spans="1:4">
      <c r="A18" s="161" t="s">
        <v>14</v>
      </c>
      <c r="B18" s="156"/>
    </row>
    <row r="19" spans="1:4">
      <c r="A19" s="164" t="s">
        <v>15</v>
      </c>
    </row>
    <row r="20" spans="1:4">
      <c r="A20" s="161" t="s">
        <v>16</v>
      </c>
      <c r="B20" s="156"/>
    </row>
    <row r="21" spans="1:4" ht="25.5">
      <c r="A21" s="162" t="s">
        <v>17</v>
      </c>
    </row>
    <row r="22" spans="1:4">
      <c r="A22" s="161" t="s">
        <v>18</v>
      </c>
      <c r="B22" s="160"/>
    </row>
    <row r="23" spans="1:4">
      <c r="A23" s="161" t="s">
        <v>19</v>
      </c>
      <c r="B23" s="156"/>
    </row>
    <row r="24" spans="1:4">
      <c r="A24" s="161" t="s">
        <v>20</v>
      </c>
      <c r="B24" s="156"/>
    </row>
    <row r="25" spans="1:4">
      <c r="A25" s="161" t="s">
        <v>21</v>
      </c>
      <c r="B25" s="156"/>
      <c r="C25" s="156" t="s">
        <v>22</v>
      </c>
      <c r="D25" s="156" t="s">
        <v>22</v>
      </c>
    </row>
    <row r="26" spans="1:4">
      <c r="A26" s="161" t="s">
        <v>23</v>
      </c>
    </row>
    <row r="27" spans="1:4">
      <c r="A27" s="161" t="s">
        <v>24</v>
      </c>
      <c r="B27" s="156"/>
    </row>
    <row r="28" spans="1:4">
      <c r="A28" s="161" t="s">
        <v>25</v>
      </c>
    </row>
    <row r="29" spans="1:4">
      <c r="A29" s="161" t="s">
        <v>26</v>
      </c>
    </row>
    <row r="30" spans="1:4">
      <c r="A30" s="161" t="s">
        <v>27</v>
      </c>
      <c r="B30" s="156"/>
      <c r="C30" s="156" t="s">
        <v>22</v>
      </c>
    </row>
    <row r="31" spans="1:4">
      <c r="A31" s="164" t="s">
        <v>28</v>
      </c>
    </row>
    <row r="32" spans="1:4" ht="30" customHeight="1">
      <c r="A32" s="162" t="s">
        <v>29</v>
      </c>
    </row>
    <row r="33" spans="1:2">
      <c r="A33" s="161" t="s">
        <v>30</v>
      </c>
    </row>
    <row r="34" spans="1:2">
      <c r="A34" s="161" t="s">
        <v>31</v>
      </c>
    </row>
    <row r="35" spans="1:2">
      <c r="A35" s="161" t="s">
        <v>32</v>
      </c>
      <c r="B35" s="156"/>
    </row>
    <row r="36" spans="1:2">
      <c r="A36" s="161" t="s">
        <v>33</v>
      </c>
      <c r="B36" s="156"/>
    </row>
    <row r="37" spans="1:2">
      <c r="A37" s="164" t="s">
        <v>34</v>
      </c>
    </row>
    <row r="38" spans="1:2">
      <c r="A38" s="161" t="s">
        <v>35</v>
      </c>
    </row>
    <row r="39" spans="1:2" ht="38.25">
      <c r="A39" s="163" t="s">
        <v>36</v>
      </c>
      <c r="B39" s="156"/>
    </row>
    <row r="40" spans="1:2">
      <c r="A40" s="163"/>
      <c r="B40" s="156"/>
    </row>
    <row r="41" spans="1:2" s="159" customFormat="1" ht="15">
      <c r="A41" s="164" t="s">
        <v>37</v>
      </c>
    </row>
    <row r="42" spans="1:2">
      <c r="A42" s="161" t="s">
        <v>38</v>
      </c>
    </row>
    <row r="43" spans="1:2">
      <c r="A43" s="161" t="s">
        <v>39</v>
      </c>
    </row>
    <row r="44" spans="1:2">
      <c r="A44" s="161" t="s">
        <v>40</v>
      </c>
    </row>
    <row r="45" spans="1:2">
      <c r="A45" s="161" t="s">
        <v>41</v>
      </c>
    </row>
    <row r="46" spans="1:2">
      <c r="A46" s="161" t="s">
        <v>42</v>
      </c>
    </row>
    <row r="47" spans="1:2">
      <c r="A47" s="161" t="s">
        <v>43</v>
      </c>
    </row>
    <row r="48" spans="1:2">
      <c r="A48" s="156" t="s">
        <v>44</v>
      </c>
    </row>
    <row r="49" spans="1:1">
      <c r="A49" s="156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71CB-764F-448A-8A8B-9BD18B69367E}">
  <dimension ref="A2:F11"/>
  <sheetViews>
    <sheetView showGridLines="0" workbookViewId="0">
      <selection activeCell="F11" sqref="F11"/>
    </sheetView>
  </sheetViews>
  <sheetFormatPr defaultColWidth="9" defaultRowHeight="12.75"/>
  <cols>
    <col min="1" max="1" width="28.140625" style="21" customWidth="1"/>
    <col min="2" max="2" width="10" style="3" customWidth="1"/>
    <col min="3" max="3" width="14.28515625" style="3" customWidth="1"/>
    <col min="4" max="4" width="8" style="3" customWidth="1"/>
    <col min="5" max="5" width="38" style="3" customWidth="1"/>
    <col min="6" max="6" width="48.140625" style="3" customWidth="1"/>
    <col min="7" max="16384" width="9" style="3"/>
  </cols>
  <sheetData>
    <row r="2" spans="1:6" s="2" customFormat="1" ht="75.75" customHeight="1">
      <c r="A2" s="1"/>
      <c r="B2" s="380" t="s">
        <v>45</v>
      </c>
      <c r="C2" s="380"/>
      <c r="D2" s="380"/>
      <c r="E2" s="380"/>
      <c r="F2" s="380"/>
    </row>
    <row r="3" spans="1:6">
      <c r="A3" s="4"/>
      <c r="B3" s="5"/>
      <c r="E3" s="6"/>
    </row>
    <row r="4" spans="1:6" ht="14.25" customHeight="1">
      <c r="A4" s="359" t="s">
        <v>46</v>
      </c>
      <c r="B4" s="381" t="s">
        <v>47</v>
      </c>
      <c r="C4" s="381"/>
      <c r="D4" s="381"/>
      <c r="E4" s="359" t="s">
        <v>48</v>
      </c>
      <c r="F4" s="7" t="s">
        <v>49</v>
      </c>
    </row>
    <row r="5" spans="1:6" ht="14.25" customHeight="1">
      <c r="A5" s="359" t="s">
        <v>50</v>
      </c>
      <c r="B5" s="381" t="s">
        <v>51</v>
      </c>
      <c r="C5" s="381"/>
      <c r="D5" s="381"/>
      <c r="E5" s="359" t="s">
        <v>52</v>
      </c>
      <c r="F5" s="295">
        <v>46103</v>
      </c>
    </row>
    <row r="6" spans="1:6" ht="15.75" customHeight="1">
      <c r="A6" s="179" t="s">
        <v>53</v>
      </c>
      <c r="B6" s="382" t="str">
        <f>B5&amp;"_"&amp;"Unit Test Document"&amp;"_"&amp;"v1.0"</f>
        <v>PLW_Unit Test Document_v1.0</v>
      </c>
      <c r="C6" s="383"/>
      <c r="D6" s="384"/>
      <c r="E6" s="359" t="s">
        <v>54</v>
      </c>
      <c r="F6" s="149">
        <v>1</v>
      </c>
    </row>
    <row r="7" spans="1:6">
      <c r="A7" s="167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</row>
    <row r="9" spans="1:6">
      <c r="A9" s="168" t="s">
        <v>55</v>
      </c>
    </row>
    <row r="10" spans="1:6" s="14" customFormat="1">
      <c r="A10" s="15" t="s">
        <v>56</v>
      </c>
      <c r="B10" s="16" t="s">
        <v>54</v>
      </c>
      <c r="C10" s="16" t="s">
        <v>57</v>
      </c>
      <c r="D10" s="16" t="s">
        <v>58</v>
      </c>
      <c r="E10" s="16" t="s">
        <v>59</v>
      </c>
      <c r="F10" s="17" t="s">
        <v>60</v>
      </c>
    </row>
    <row r="11" spans="1:6" s="18" customFormat="1" ht="26.25" customHeight="1">
      <c r="A11" s="326">
        <v>46103</v>
      </c>
      <c r="B11" s="19" t="s">
        <v>61</v>
      </c>
      <c r="C11" s="20" t="s">
        <v>62</v>
      </c>
      <c r="D11" s="20"/>
      <c r="E11" s="327" t="s">
        <v>63</v>
      </c>
      <c r="F11" s="150" t="s">
        <v>64</v>
      </c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C4E-96DD-4015-8698-A17FACA6C6CF}">
  <dimension ref="A2:H26"/>
  <sheetViews>
    <sheetView zoomScaleNormal="100" workbookViewId="0">
      <selection activeCell="B28" sqref="B28"/>
    </sheetView>
  </sheetViews>
  <sheetFormatPr defaultColWidth="9" defaultRowHeight="12.75"/>
  <cols>
    <col min="1" max="1" width="7.140625" style="52" customWidth="1"/>
    <col min="2" max="2" width="21.7109375" style="52" customWidth="1"/>
    <col min="3" max="3" width="19.85546875" style="52" customWidth="1"/>
    <col min="4" max="4" width="29.7109375" style="23" bestFit="1" customWidth="1"/>
    <col min="5" max="5" width="21" style="24" customWidth="1"/>
    <col min="6" max="6" width="18.28515625" style="23" customWidth="1"/>
    <col min="7" max="7" width="41.85546875" style="23" customWidth="1"/>
    <col min="8" max="8" width="51.28515625" style="23" customWidth="1"/>
    <col min="9" max="16384" width="9" style="6"/>
  </cols>
  <sheetData>
    <row r="2" spans="1:8" ht="25.5">
      <c r="A2" s="22"/>
      <c r="B2" s="22"/>
      <c r="C2" s="22"/>
      <c r="E2" s="25" t="s">
        <v>65</v>
      </c>
      <c r="F2" s="25"/>
      <c r="G2" s="26"/>
    </row>
    <row r="3" spans="1:8" ht="13.5" customHeight="1">
      <c r="A3" s="22"/>
      <c r="B3" s="22"/>
      <c r="C3" s="22"/>
      <c r="F3" s="27"/>
      <c r="G3" s="27"/>
    </row>
    <row r="4" spans="1:8" ht="14.25" customHeight="1">
      <c r="A4" s="386" t="s">
        <v>46</v>
      </c>
      <c r="B4" s="386"/>
      <c r="C4" s="386"/>
      <c r="D4" s="386"/>
      <c r="E4" s="387" t="str">
        <f>Cover!B4</f>
        <v>PharmacyLife Website</v>
      </c>
      <c r="F4" s="388"/>
      <c r="G4" s="388"/>
      <c r="H4" s="389"/>
    </row>
    <row r="5" spans="1:8" ht="14.25" customHeight="1">
      <c r="A5" s="386" t="s">
        <v>50</v>
      </c>
      <c r="B5" s="386"/>
      <c r="C5" s="386"/>
      <c r="D5" s="386"/>
      <c r="E5" s="387" t="str">
        <f>Cover!B5</f>
        <v>PLW</v>
      </c>
      <c r="F5" s="388"/>
      <c r="G5" s="388"/>
      <c r="H5" s="389"/>
    </row>
    <row r="6" spans="1:8" ht="14.25" customHeight="1">
      <c r="A6" s="393" t="s">
        <v>66</v>
      </c>
      <c r="B6" s="394"/>
      <c r="C6" s="394"/>
      <c r="D6" s="395"/>
      <c r="E6" s="356">
        <v>90</v>
      </c>
      <c r="F6" s="357"/>
      <c r="G6" s="357"/>
      <c r="H6" s="358"/>
    </row>
    <row r="7" spans="1:8" s="28" customFormat="1" ht="12.75" customHeight="1">
      <c r="A7" s="385" t="s">
        <v>67</v>
      </c>
      <c r="B7" s="385"/>
      <c r="C7" s="385"/>
      <c r="D7" s="385"/>
      <c r="E7" s="390" t="s">
        <v>68</v>
      </c>
      <c r="F7" s="391"/>
      <c r="G7" s="391"/>
      <c r="H7" s="392"/>
    </row>
    <row r="8" spans="1:8">
      <c r="A8" s="29"/>
      <c r="B8" s="29"/>
      <c r="C8" s="29"/>
      <c r="D8" s="30"/>
      <c r="E8" s="31"/>
      <c r="F8" s="30"/>
      <c r="G8" s="30"/>
      <c r="H8" s="30"/>
    </row>
    <row r="9" spans="1:8" s="35" customFormat="1">
      <c r="A9" s="32"/>
      <c r="B9" s="32"/>
      <c r="C9" s="32"/>
      <c r="D9" s="33"/>
      <c r="E9" s="34"/>
      <c r="F9" s="33"/>
      <c r="G9" s="33"/>
      <c r="H9" s="33"/>
    </row>
    <row r="10" spans="1:8" s="43" customFormat="1" ht="24" customHeight="1">
      <c r="A10" s="36" t="s">
        <v>69</v>
      </c>
      <c r="B10" s="37" t="s">
        <v>70</v>
      </c>
      <c r="C10" s="38" t="s">
        <v>71</v>
      </c>
      <c r="D10" s="39" t="s">
        <v>72</v>
      </c>
      <c r="E10" s="40" t="s">
        <v>73</v>
      </c>
      <c r="F10" s="39" t="s">
        <v>74</v>
      </c>
      <c r="G10" s="41" t="s">
        <v>75</v>
      </c>
      <c r="H10" s="42" t="s">
        <v>76</v>
      </c>
    </row>
    <row r="11" spans="1:8" ht="21.75">
      <c r="A11" s="151">
        <v>1</v>
      </c>
      <c r="B11" s="321" t="s">
        <v>77</v>
      </c>
      <c r="C11" s="322" t="s">
        <v>78</v>
      </c>
      <c r="D11" s="45" t="s">
        <v>79</v>
      </c>
      <c r="E11" s="46"/>
      <c r="F11" s="297" t="s">
        <v>79</v>
      </c>
      <c r="G11" s="317" t="s">
        <v>80</v>
      </c>
      <c r="H11" s="306" t="s">
        <v>81</v>
      </c>
    </row>
    <row r="12" spans="1:8" ht="32.25">
      <c r="A12" s="319">
        <v>2</v>
      </c>
      <c r="B12" s="318" t="s">
        <v>82</v>
      </c>
      <c r="C12" s="323" t="s">
        <v>78</v>
      </c>
      <c r="D12" s="320" t="s">
        <v>83</v>
      </c>
      <c r="E12" s="46"/>
      <c r="F12" s="308" t="s">
        <v>84</v>
      </c>
      <c r="G12" s="309" t="s">
        <v>85</v>
      </c>
      <c r="H12" s="306" t="s">
        <v>81</v>
      </c>
    </row>
    <row r="13" spans="1:8" ht="21.75">
      <c r="A13" s="151">
        <v>3</v>
      </c>
      <c r="B13" s="325" t="s">
        <v>86</v>
      </c>
      <c r="C13" s="324" t="s">
        <v>78</v>
      </c>
      <c r="D13" s="320" t="s">
        <v>87</v>
      </c>
      <c r="E13" s="46"/>
      <c r="F13" s="308" t="s">
        <v>87</v>
      </c>
      <c r="G13" s="313" t="s">
        <v>88</v>
      </c>
      <c r="H13" s="306" t="s">
        <v>81</v>
      </c>
    </row>
    <row r="14" spans="1:8" ht="21.75">
      <c r="A14" s="151">
        <v>4</v>
      </c>
      <c r="B14" s="44" t="s">
        <v>89</v>
      </c>
      <c r="C14" s="44" t="s">
        <v>90</v>
      </c>
      <c r="D14" s="45" t="s">
        <v>91</v>
      </c>
      <c r="E14" s="46"/>
      <c r="F14" s="311" t="s">
        <v>91</v>
      </c>
      <c r="G14" s="310" t="s">
        <v>92</v>
      </c>
      <c r="H14" s="306" t="s">
        <v>81</v>
      </c>
    </row>
    <row r="15" spans="1:8" ht="21.75">
      <c r="A15" s="151">
        <v>5</v>
      </c>
      <c r="B15" s="44" t="s">
        <v>93</v>
      </c>
      <c r="C15" s="44" t="s">
        <v>90</v>
      </c>
      <c r="D15" s="45" t="s">
        <v>94</v>
      </c>
      <c r="E15" s="298"/>
      <c r="F15" s="299" t="s">
        <v>94</v>
      </c>
      <c r="G15" s="310" t="s">
        <v>95</v>
      </c>
      <c r="H15" s="306" t="s">
        <v>81</v>
      </c>
    </row>
    <row r="16" spans="1:8" ht="21.75">
      <c r="A16" s="151">
        <v>6</v>
      </c>
      <c r="B16" s="44" t="s">
        <v>96</v>
      </c>
      <c r="C16" s="44" t="s">
        <v>97</v>
      </c>
      <c r="D16" s="45" t="s">
        <v>98</v>
      </c>
      <c r="E16" s="46"/>
      <c r="F16" s="312" t="s">
        <v>98</v>
      </c>
      <c r="G16" s="307" t="s">
        <v>99</v>
      </c>
      <c r="H16" s="306" t="s">
        <v>81</v>
      </c>
    </row>
    <row r="17" spans="1:8">
      <c r="A17" s="151">
        <v>7</v>
      </c>
      <c r="B17" s="44" t="s">
        <v>100</v>
      </c>
      <c r="C17" s="44" t="s">
        <v>101</v>
      </c>
      <c r="D17" s="45" t="s">
        <v>102</v>
      </c>
      <c r="E17" s="46"/>
      <c r="F17" s="315" t="s">
        <v>102</v>
      </c>
      <c r="G17" s="314" t="s">
        <v>103</v>
      </c>
      <c r="H17" s="306" t="s">
        <v>81</v>
      </c>
    </row>
    <row r="18" spans="1:8">
      <c r="A18" s="534">
        <v>8</v>
      </c>
      <c r="B18" s="322" t="s">
        <v>104</v>
      </c>
      <c r="C18" s="322" t="s">
        <v>90</v>
      </c>
      <c r="D18" s="535" t="s">
        <v>105</v>
      </c>
      <c r="E18" s="536"/>
      <c r="F18" s="537" t="s">
        <v>105</v>
      </c>
      <c r="G18" s="538" t="s">
        <v>106</v>
      </c>
      <c r="H18" s="306" t="s">
        <v>81</v>
      </c>
    </row>
    <row r="19" spans="1:8">
      <c r="A19" s="534">
        <v>9</v>
      </c>
      <c r="B19" s="322" t="s">
        <v>107</v>
      </c>
      <c r="C19" s="322" t="s">
        <v>90</v>
      </c>
      <c r="D19" s="535" t="s">
        <v>108</v>
      </c>
      <c r="E19" s="536"/>
      <c r="F19" s="537" t="s">
        <v>108</v>
      </c>
      <c r="G19" s="538" t="s">
        <v>109</v>
      </c>
      <c r="H19" s="306" t="s">
        <v>81</v>
      </c>
    </row>
    <row r="20" spans="1:8" ht="0.75" customHeight="1">
      <c r="A20" s="534"/>
      <c r="B20" s="322"/>
      <c r="C20" s="322"/>
      <c r="D20" s="535"/>
      <c r="E20" s="536"/>
      <c r="F20" s="537"/>
      <c r="G20" s="538"/>
      <c r="H20" s="306"/>
    </row>
    <row r="21" spans="1:8" ht="0.75" customHeight="1">
      <c r="A21" s="152"/>
      <c r="B21" s="47"/>
      <c r="C21" s="47"/>
      <c r="D21" s="48"/>
      <c r="E21" s="49"/>
      <c r="F21" s="50"/>
      <c r="G21" s="538"/>
      <c r="H21" s="51"/>
    </row>
    <row r="22" spans="1:8" ht="0.75" customHeight="1">
      <c r="A22" s="246"/>
      <c r="B22" s="247"/>
      <c r="C22" s="247"/>
      <c r="D22" s="248"/>
      <c r="E22" s="249"/>
      <c r="F22" s="250"/>
      <c r="G22" s="316"/>
      <c r="H22" s="250"/>
    </row>
    <row r="23" spans="1:8" ht="0.75" customHeight="1">
      <c r="A23" s="246"/>
      <c r="B23" s="247"/>
      <c r="C23" s="247"/>
      <c r="D23" s="248"/>
      <c r="E23" s="249"/>
      <c r="F23" s="250"/>
      <c r="G23" s="250"/>
      <c r="H23" s="250"/>
    </row>
    <row r="24" spans="1:8" ht="0.75" customHeight="1">
      <c r="A24" s="246"/>
      <c r="B24" s="247"/>
      <c r="C24" s="247"/>
      <c r="D24" s="248"/>
      <c r="E24" s="249"/>
      <c r="F24" s="250"/>
      <c r="G24" s="250"/>
      <c r="H24" s="250"/>
    </row>
    <row r="25" spans="1:8" ht="13.5" customHeight="1">
      <c r="A25" s="246"/>
      <c r="B25" s="247"/>
      <c r="C25" s="247"/>
      <c r="D25" s="248"/>
      <c r="E25" s="249"/>
      <c r="F25" s="250"/>
      <c r="G25" s="250"/>
      <c r="H25" s="250"/>
    </row>
    <row r="26" spans="1:8">
      <c r="G26" s="250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739-7CBC-48BE-A5BD-EA749C7A692B}">
  <dimension ref="A2:I27"/>
  <sheetViews>
    <sheetView topLeftCell="A5" workbookViewId="0">
      <selection activeCell="B20" sqref="B20"/>
    </sheetView>
  </sheetViews>
  <sheetFormatPr defaultColWidth="9" defaultRowHeight="12.75"/>
  <cols>
    <col min="1" max="1" width="15.28515625" style="6" customWidth="1"/>
    <col min="2" max="2" width="26.7109375" style="6" customWidth="1"/>
    <col min="3" max="3" width="12.140625" style="6" customWidth="1"/>
    <col min="4" max="4" width="9.7109375" style="6" customWidth="1"/>
    <col min="5" max="5" width="9.85546875" style="6" customWidth="1"/>
    <col min="6" max="8" width="5.140625" style="6" customWidth="1"/>
    <col min="9" max="9" width="21" style="6" customWidth="1"/>
    <col min="10" max="10" width="33.140625" style="6" customWidth="1"/>
    <col min="11" max="16384" width="9" style="6"/>
  </cols>
  <sheetData>
    <row r="2" spans="1:9" ht="25.5" customHeight="1">
      <c r="A2" s="402" t="s">
        <v>110</v>
      </c>
      <c r="B2" s="402"/>
      <c r="C2" s="402"/>
      <c r="D2" s="402"/>
      <c r="E2" s="402"/>
      <c r="F2" s="402"/>
      <c r="G2" s="402"/>
      <c r="H2" s="402"/>
      <c r="I2" s="402"/>
    </row>
    <row r="3" spans="1:9" ht="14.25" customHeight="1">
      <c r="A3" s="53"/>
      <c r="B3" s="54"/>
      <c r="C3" s="54"/>
      <c r="D3" s="54"/>
      <c r="E3" s="54"/>
      <c r="F3" s="54"/>
      <c r="G3" s="54"/>
      <c r="H3" s="54"/>
      <c r="I3" s="55"/>
    </row>
    <row r="4" spans="1:9" ht="13.5" customHeight="1">
      <c r="A4" s="178" t="s">
        <v>46</v>
      </c>
      <c r="B4" s="399" t="str">
        <f>Cover!B4</f>
        <v>PharmacyLife Website</v>
      </c>
      <c r="C4" s="399"/>
      <c r="D4" s="400" t="s">
        <v>48</v>
      </c>
      <c r="E4" s="400"/>
      <c r="F4" s="403" t="s">
        <v>49</v>
      </c>
      <c r="G4" s="404"/>
      <c r="H4" s="404"/>
      <c r="I4" s="405"/>
    </row>
    <row r="5" spans="1:9" ht="13.5" customHeight="1">
      <c r="A5" s="178" t="s">
        <v>50</v>
      </c>
      <c r="B5" s="399" t="str">
        <f>Cover!B5</f>
        <v>PLW</v>
      </c>
      <c r="C5" s="399"/>
      <c r="D5" s="400" t="s">
        <v>111</v>
      </c>
      <c r="E5" s="400"/>
      <c r="F5" s="403" t="s">
        <v>112</v>
      </c>
      <c r="G5" s="404"/>
      <c r="H5" s="404"/>
      <c r="I5" s="405"/>
    </row>
    <row r="6" spans="1:9" ht="12.75" customHeight="1">
      <c r="A6" s="179" t="s">
        <v>53</v>
      </c>
      <c r="B6" s="399" t="str">
        <f>B5&amp;"_"&amp;"Unit Test Report"&amp;"_"&amp;"v1.0"</f>
        <v>PLW_Unit Test Report_v1.0</v>
      </c>
      <c r="C6" s="399"/>
      <c r="D6" s="400" t="s">
        <v>52</v>
      </c>
      <c r="E6" s="400"/>
      <c r="F6" s="396">
        <v>46103</v>
      </c>
      <c r="G6" s="397"/>
      <c r="H6" s="397"/>
      <c r="I6" s="398"/>
    </row>
    <row r="7" spans="1:9" ht="15.75" customHeight="1">
      <c r="A7" s="179" t="s">
        <v>113</v>
      </c>
      <c r="B7" s="401"/>
      <c r="C7" s="401"/>
      <c r="D7" s="401"/>
      <c r="E7" s="401"/>
      <c r="F7" s="401"/>
      <c r="G7" s="401"/>
      <c r="H7" s="401"/>
      <c r="I7" s="401"/>
    </row>
    <row r="8" spans="1:9" ht="14.25" customHeight="1">
      <c r="A8" s="56"/>
      <c r="B8" s="57"/>
      <c r="C8" s="54"/>
      <c r="D8" s="54"/>
      <c r="E8" s="54"/>
      <c r="F8" s="54"/>
      <c r="G8" s="54"/>
      <c r="H8" s="54"/>
      <c r="I8" s="55"/>
    </row>
    <row r="9" spans="1:9">
      <c r="A9" s="56"/>
      <c r="B9" s="57"/>
      <c r="C9" s="54"/>
      <c r="D9" s="54"/>
      <c r="E9" s="54"/>
      <c r="F9" s="54"/>
      <c r="G9" s="54"/>
      <c r="H9" s="54"/>
      <c r="I9" s="55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 ht="14.25" customHeight="1">
      <c r="A11" s="59" t="s">
        <v>69</v>
      </c>
      <c r="B11" s="60" t="s">
        <v>114</v>
      </c>
      <c r="C11" s="61" t="s">
        <v>115</v>
      </c>
      <c r="D11" s="60" t="s">
        <v>116</v>
      </c>
      <c r="E11" s="62" t="s">
        <v>117</v>
      </c>
      <c r="F11" s="62" t="s">
        <v>118</v>
      </c>
      <c r="G11" s="62" t="s">
        <v>62</v>
      </c>
      <c r="H11" s="62" t="s">
        <v>119</v>
      </c>
      <c r="I11" s="63" t="s">
        <v>120</v>
      </c>
    </row>
    <row r="12" spans="1:9" ht="14.25">
      <c r="A12" s="64">
        <v>1</v>
      </c>
      <c r="B12" s="332" t="s">
        <v>79</v>
      </c>
      <c r="C12" s="65">
        <f>getDisplayQuantity!A7</f>
        <v>14</v>
      </c>
      <c r="D12" s="65">
        <f>getDisplayQuantity!C7</f>
        <v>0</v>
      </c>
      <c r="E12" s="65">
        <f>getDisplayQuantity!F7</f>
        <v>1</v>
      </c>
      <c r="F12" s="66">
        <f>getDisplayQuantity!L7</f>
        <v>4</v>
      </c>
      <c r="G12" s="65">
        <f>getDisplayQuantity!M7</f>
        <v>4</v>
      </c>
      <c r="H12" s="65">
        <f>getDisplayQuantity!N7</f>
        <v>6</v>
      </c>
      <c r="I12" s="65">
        <f>getDisplayQuantity!O7</f>
        <v>15</v>
      </c>
    </row>
    <row r="13" spans="1:9" ht="14.25">
      <c r="A13" s="64">
        <v>2</v>
      </c>
      <c r="B13" s="169" t="s">
        <v>83</v>
      </c>
      <c r="C13" s="65">
        <f>' setCategoryID'!A7</f>
        <v>10</v>
      </c>
      <c r="D13" s="65">
        <f>' setCategoryID'!C7</f>
        <v>0</v>
      </c>
      <c r="E13" s="65">
        <f>' setCategoryID'!F7</f>
        <v>5</v>
      </c>
      <c r="F13" s="66">
        <f>' setCategoryID'!L7</f>
        <v>1</v>
      </c>
      <c r="G13" s="65">
        <f>' setCategoryID'!M7</f>
        <v>6</v>
      </c>
      <c r="H13" s="65">
        <f>' setCategoryID'!N7</f>
        <v>3</v>
      </c>
      <c r="I13" s="65">
        <f>' setCategoryID'!O7</f>
        <v>15</v>
      </c>
    </row>
    <row r="14" spans="1:9" ht="14.25">
      <c r="A14" s="64">
        <v>3</v>
      </c>
      <c r="B14" s="169" t="s">
        <v>87</v>
      </c>
      <c r="C14" s="328">
        <f>getSellingPrice!A7</f>
        <v>6</v>
      </c>
      <c r="D14" s="65">
        <f>getSellingPrice!C7</f>
        <v>0</v>
      </c>
      <c r="E14" s="65">
        <f>getSellingPrice!F7</f>
        <v>9</v>
      </c>
      <c r="F14" s="66">
        <f>getSellingPrice!L7</f>
        <v>3</v>
      </c>
      <c r="G14" s="65">
        <f>getSellingPrice!M7</f>
        <v>5</v>
      </c>
      <c r="H14" s="65">
        <f>getSellingPrice!N7</f>
        <v>2</v>
      </c>
      <c r="I14" s="65">
        <f>getSellingPrice!O7</f>
        <v>15</v>
      </c>
    </row>
    <row r="15" spans="1:9" ht="14.25">
      <c r="A15" s="64">
        <v>4</v>
      </c>
      <c r="B15" s="333" t="s">
        <v>91</v>
      </c>
      <c r="C15" s="329">
        <f>getTotalMoney!A7</f>
        <v>10</v>
      </c>
      <c r="D15" s="65">
        <f>getTotalMoney!C7</f>
        <v>0</v>
      </c>
      <c r="E15" s="65">
        <f>getTotalMoney!F7</f>
        <v>5</v>
      </c>
      <c r="F15" s="66">
        <f>getTotalMoney!L7</f>
        <v>4</v>
      </c>
      <c r="G15" s="65">
        <f>getTotalMoney!M7</f>
        <v>3</v>
      </c>
      <c r="H15" s="65">
        <f>getTotalMoney!N7</f>
        <v>3</v>
      </c>
      <c r="I15" s="65">
        <f>getTotalMoney!O7</f>
        <v>15</v>
      </c>
    </row>
    <row r="16" spans="1:9" ht="14.25">
      <c r="A16" s="64">
        <v>5</v>
      </c>
      <c r="B16" s="169" t="s">
        <v>94</v>
      </c>
      <c r="C16" s="329">
        <f>getTotalPrice!A7</f>
        <v>10</v>
      </c>
      <c r="D16" s="65">
        <f>getTotalPrice!C7</f>
        <v>0</v>
      </c>
      <c r="E16" s="65">
        <f>getTotalPrice!F7</f>
        <v>5</v>
      </c>
      <c r="F16" s="66">
        <f>getTotalPrice!L7</f>
        <v>4</v>
      </c>
      <c r="G16" s="65">
        <f>getTotalPrice!M7</f>
        <v>2</v>
      </c>
      <c r="H16" s="65">
        <f>getTotalPrice!N7</f>
        <v>4</v>
      </c>
      <c r="I16" s="65">
        <f>getTotalPrice!O7</f>
        <v>15</v>
      </c>
    </row>
    <row r="17" spans="1:9" ht="14.25">
      <c r="A17" s="64">
        <v>6</v>
      </c>
      <c r="B17" s="169" t="s">
        <v>121</v>
      </c>
      <c r="C17" s="329">
        <f>'getTotalPrice(Order)'!A7</f>
        <v>9</v>
      </c>
      <c r="D17" s="328">
        <f>'getTotalPrice(Order)'!C7</f>
        <v>0</v>
      </c>
      <c r="E17" s="65">
        <f>'getTotalPrice(Order)'!F7</f>
        <v>6</v>
      </c>
      <c r="F17" s="66">
        <f>'getTotalPrice(Order)'!L7</f>
        <v>3</v>
      </c>
      <c r="G17" s="65">
        <f>'getTotalPrice(Order)'!M7</f>
        <v>3</v>
      </c>
      <c r="H17" s="65">
        <f>'getTotalPrice(Order)'!N7</f>
        <v>3</v>
      </c>
      <c r="I17" s="65">
        <f>'getTotalPrice(Order)'!O7</f>
        <v>15</v>
      </c>
    </row>
    <row r="18" spans="1:9" ht="14.25">
      <c r="A18" s="330">
        <v>7</v>
      </c>
      <c r="B18" s="525" t="s">
        <v>102</v>
      </c>
      <c r="C18" s="329">
        <f>recalculateTotal!A7</f>
        <v>14</v>
      </c>
      <c r="D18" s="329">
        <f>recalculateTotal!C7</f>
        <v>0</v>
      </c>
      <c r="E18" s="331">
        <f>recalculateTotal!F7</f>
        <v>1</v>
      </c>
      <c r="F18" s="379">
        <f>recalculateTotal!L7</f>
        <v>5</v>
      </c>
      <c r="G18" s="378">
        <f>recalculateTotal!M7</f>
        <v>5</v>
      </c>
      <c r="H18" s="331">
        <f>recalculateTotal!N7</f>
        <v>4</v>
      </c>
      <c r="I18" s="331">
        <f>recalculateTotal!O7</f>
        <v>15</v>
      </c>
    </row>
    <row r="19" spans="1:9" ht="14.25">
      <c r="A19" s="523">
        <v>8</v>
      </c>
      <c r="B19" s="527" t="s">
        <v>105</v>
      </c>
      <c r="C19" s="524">
        <f>updateQuantity!A7</f>
        <v>15</v>
      </c>
      <c r="D19" s="377">
        <f>updateQuantity!C7</f>
        <v>0</v>
      </c>
      <c r="E19" s="529">
        <f>updateQuantity!F7</f>
        <v>0</v>
      </c>
      <c r="F19" s="531">
        <f>updateQuantity!L7</f>
        <v>6</v>
      </c>
      <c r="G19" s="532">
        <f>updateQuantity!M7</f>
        <v>5</v>
      </c>
      <c r="H19" s="376">
        <f>updateQuantity!N7</f>
        <v>4</v>
      </c>
      <c r="I19" s="378">
        <f>updateQuantity!O7</f>
        <v>15</v>
      </c>
    </row>
    <row r="20" spans="1:9" ht="14.25">
      <c r="A20" s="523">
        <v>9</v>
      </c>
      <c r="B20" s="526" t="s">
        <v>108</v>
      </c>
      <c r="C20" s="524">
        <f>getItemCount!A7</f>
        <v>15</v>
      </c>
      <c r="D20" s="377">
        <f>getItemCount!C7</f>
        <v>0</v>
      </c>
      <c r="E20" s="529">
        <f>getItemCount!F7</f>
        <v>0</v>
      </c>
      <c r="F20" s="528">
        <f>getItemCount!L7</f>
        <v>5</v>
      </c>
      <c r="G20" s="533">
        <f>getItemCount!M7</f>
        <v>7</v>
      </c>
      <c r="H20" s="378">
        <f>getItemCount!N7</f>
        <v>3</v>
      </c>
      <c r="I20" s="378">
        <f>getItemCount!O7</f>
        <v>15</v>
      </c>
    </row>
    <row r="21" spans="1:9" ht="14.25">
      <c r="A21" s="67"/>
      <c r="B21" s="170" t="s">
        <v>122</v>
      </c>
      <c r="C21" s="68">
        <f>SUM(C10:C17)</f>
        <v>59</v>
      </c>
      <c r="D21" s="68">
        <f>SUM(D10:D17)</f>
        <v>0</v>
      </c>
      <c r="E21" s="68">
        <f>SUM(E10:E17)</f>
        <v>31</v>
      </c>
      <c r="F21" s="530">
        <f>SUM(F10:F17)</f>
        <v>19</v>
      </c>
      <c r="G21" s="68">
        <f>SUM(G10:G17)</f>
        <v>23</v>
      </c>
      <c r="H21" s="68">
        <f>SUM(H10:H17)</f>
        <v>21</v>
      </c>
      <c r="I21" s="68">
        <f>SUM(I10:I17)</f>
        <v>90</v>
      </c>
    </row>
    <row r="22" spans="1:9">
      <c r="A22" s="69"/>
      <c r="B22" s="58"/>
      <c r="C22" s="70"/>
      <c r="D22" s="71"/>
      <c r="E22" s="71"/>
      <c r="F22" s="71"/>
      <c r="G22" s="71"/>
      <c r="H22" s="71"/>
      <c r="I22" s="71"/>
    </row>
    <row r="23" spans="1:9">
      <c r="A23" s="58"/>
      <c r="B23" s="180" t="s">
        <v>123</v>
      </c>
      <c r="C23" s="58"/>
      <c r="D23" s="181">
        <f>(C21+D21)*100/(I21)</f>
        <v>65.555555555555557</v>
      </c>
      <c r="E23" s="58" t="s">
        <v>124</v>
      </c>
      <c r="F23" s="58"/>
      <c r="G23" s="58"/>
      <c r="H23" s="58"/>
      <c r="I23" s="72"/>
    </row>
    <row r="24" spans="1:9">
      <c r="A24" s="58"/>
      <c r="B24" s="180" t="s">
        <v>125</v>
      </c>
      <c r="C24" s="58"/>
      <c r="D24" s="181">
        <f>C21*100/(I21)</f>
        <v>65.555555555555557</v>
      </c>
      <c r="E24" s="58" t="s">
        <v>124</v>
      </c>
      <c r="F24" s="58"/>
      <c r="G24" s="58"/>
      <c r="H24" s="58"/>
      <c r="I24" s="72"/>
    </row>
    <row r="25" spans="1:9">
      <c r="B25" s="180" t="s">
        <v>126</v>
      </c>
      <c r="C25" s="58"/>
      <c r="D25" s="181">
        <f>F21*100/I21</f>
        <v>21.111111111111111</v>
      </c>
      <c r="E25" s="58" t="s">
        <v>124</v>
      </c>
    </row>
    <row r="26" spans="1:9">
      <c r="B26" s="180" t="s">
        <v>127</v>
      </c>
      <c r="D26" s="181">
        <f>G21*100/I21</f>
        <v>25.555555555555557</v>
      </c>
      <c r="E26" s="58" t="s">
        <v>124</v>
      </c>
    </row>
    <row r="27" spans="1:9">
      <c r="B27" s="180" t="s">
        <v>128</v>
      </c>
      <c r="D27" s="181">
        <f>H21*100/I21</f>
        <v>23.333333333333332</v>
      </c>
      <c r="E27" s="58" t="s">
        <v>124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r:id="rId1" xr:uid="{487E92DC-90AF-46B5-85C6-C13D91B4DD32}"/>
    <hyperlink ref="B13" location="Function2!A1" display="Function2" xr:uid="{02F2CFA2-5E2E-40D5-84E8-3B500E92D5E8}"/>
    <hyperlink ref="B15" r:id="rId2" xr:uid="{D65BF64E-11D3-4CAA-9A13-CBD972584E1B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B211-E4C4-49B4-9845-D47B9295DF55}">
  <dimension ref="A1:AC63"/>
  <sheetViews>
    <sheetView workbookViewId="0">
      <pane ySplit="9" topLeftCell="A45" activePane="bottomLeft" state="frozen"/>
      <selection pane="bottomLeft" activeCell="T10" sqref="T10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31.140625" style="75" customWidth="1"/>
    <col min="4" max="4" width="11.28515625" style="76" customWidth="1"/>
    <col min="5" max="5" width="1.85546875" style="75" hidden="1" customWidth="1"/>
    <col min="6" max="6" width="5.42578125" style="75" customWidth="1"/>
    <col min="7" max="7" width="4.140625" style="75" bestFit="1" customWidth="1"/>
    <col min="8" max="8" width="2.85546875" style="75" customWidth="1"/>
    <col min="9" max="10" width="4.140625" style="75" bestFit="1" customWidth="1"/>
    <col min="11" max="19" width="2.85546875" style="75" customWidth="1"/>
    <col min="20" max="20" width="2.85546875" style="75" bestFit="1" customWidth="1"/>
    <col min="21" max="21" width="2.85546875" style="75" customWidth="1"/>
    <col min="22" max="22" width="9" style="75"/>
    <col min="23" max="23" width="13.5703125" style="75" bestFit="1" customWidth="1"/>
    <col min="24" max="24" width="13.140625" style="75" customWidth="1"/>
    <col min="25" max="16384" width="9" style="75"/>
  </cols>
  <sheetData>
    <row r="1" spans="1:28" ht="22.5" customHeight="1">
      <c r="A1" s="82"/>
      <c r="B1" s="174"/>
      <c r="D1" s="175"/>
    </row>
    <row r="2" spans="1:28" ht="15" customHeight="1">
      <c r="A2" s="425" t="s">
        <v>129</v>
      </c>
      <c r="B2" s="426"/>
      <c r="C2" s="433" t="s">
        <v>79</v>
      </c>
      <c r="D2" s="434"/>
      <c r="E2" s="176"/>
      <c r="F2" s="426" t="s">
        <v>72</v>
      </c>
      <c r="G2" s="426"/>
      <c r="H2" s="426"/>
      <c r="I2" s="426"/>
      <c r="J2" s="426"/>
      <c r="K2" s="426"/>
      <c r="L2" s="430" t="s">
        <v>79</v>
      </c>
      <c r="M2" s="431"/>
      <c r="N2" s="431"/>
      <c r="O2" s="431"/>
      <c r="P2" s="431"/>
      <c r="Q2" s="431"/>
      <c r="R2" s="431"/>
      <c r="S2" s="431"/>
      <c r="T2" s="432"/>
    </row>
    <row r="3" spans="1:28" ht="13.5" customHeight="1">
      <c r="A3" s="416" t="s">
        <v>130</v>
      </c>
      <c r="B3" s="417"/>
      <c r="C3" s="413" t="s">
        <v>131</v>
      </c>
      <c r="D3" s="414"/>
      <c r="E3" s="415"/>
      <c r="F3" s="442" t="s">
        <v>132</v>
      </c>
      <c r="G3" s="443"/>
      <c r="H3" s="443"/>
      <c r="I3" s="443"/>
      <c r="J3" s="443"/>
      <c r="K3" s="444"/>
      <c r="L3" s="438" t="s">
        <v>131</v>
      </c>
      <c r="M3" s="439"/>
      <c r="N3" s="439"/>
      <c r="O3" s="171"/>
      <c r="P3" s="171"/>
      <c r="Q3" s="171"/>
      <c r="R3" s="171"/>
      <c r="S3" s="171"/>
      <c r="T3" s="172"/>
    </row>
    <row r="4" spans="1:28" ht="13.5" customHeight="1">
      <c r="A4" s="418" t="s">
        <v>133</v>
      </c>
      <c r="B4" s="419"/>
      <c r="C4" s="420">
        <v>5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-14.55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8" ht="13.5" customHeight="1">
      <c r="A5" s="418" t="s">
        <v>135</v>
      </c>
      <c r="B5" s="419"/>
      <c r="C5" s="454" t="s">
        <v>80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8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5" t="s">
        <v>136</v>
      </c>
      <c r="M6" s="436"/>
      <c r="N6" s="448"/>
      <c r="O6" s="435" t="s">
        <v>120</v>
      </c>
      <c r="P6" s="436"/>
      <c r="Q6" s="436"/>
      <c r="R6" s="436"/>
      <c r="S6" s="436"/>
      <c r="T6" s="437"/>
      <c r="V6" s="77"/>
    </row>
    <row r="7" spans="1:28" ht="13.5" customHeight="1">
      <c r="A7" s="407">
        <f>COUNTIF(F57:HV57,"P")</f>
        <v>14</v>
      </c>
      <c r="B7" s="408"/>
      <c r="C7" s="452">
        <f>COUNTIF(F57:HV57,"F")</f>
        <v>0</v>
      </c>
      <c r="D7" s="428"/>
      <c r="E7" s="408"/>
      <c r="F7" s="452">
        <f>SUM(O7,- A7,- C7)</f>
        <v>1</v>
      </c>
      <c r="G7" s="428"/>
      <c r="H7" s="428"/>
      <c r="I7" s="428"/>
      <c r="J7" s="428"/>
      <c r="K7" s="453"/>
      <c r="L7" s="173">
        <f>COUNTIF(E56:HV56,"N")</f>
        <v>4</v>
      </c>
      <c r="M7" s="173">
        <f>COUNTIF(E56:HV56,"A")</f>
        <v>4</v>
      </c>
      <c r="N7" s="173">
        <f>COUNTIF(E56:HV56,"B")</f>
        <v>6</v>
      </c>
      <c r="O7" s="427">
        <f>COUNTA(E9:HY9)</f>
        <v>15</v>
      </c>
      <c r="P7" s="428"/>
      <c r="Q7" s="428"/>
      <c r="R7" s="428"/>
      <c r="S7" s="428"/>
      <c r="T7" s="429"/>
      <c r="U7" s="78"/>
    </row>
    <row r="8" spans="1:28" ht="10.5">
      <c r="D8" s="364"/>
    </row>
    <row r="9" spans="1:28" ht="41.25">
      <c r="A9" s="203"/>
      <c r="B9" s="204"/>
      <c r="C9" s="205"/>
      <c r="D9" s="206"/>
      <c r="E9" s="205"/>
      <c r="F9" s="207" t="s">
        <v>137</v>
      </c>
      <c r="G9" s="207" t="s">
        <v>138</v>
      </c>
      <c r="H9" s="207" t="s">
        <v>139</v>
      </c>
      <c r="I9" s="207" t="s">
        <v>140</v>
      </c>
      <c r="J9" s="207" t="s">
        <v>141</v>
      </c>
      <c r="K9" s="207" t="s">
        <v>142</v>
      </c>
      <c r="L9" s="207" t="s">
        <v>143</v>
      </c>
      <c r="M9" s="207" t="s">
        <v>144</v>
      </c>
      <c r="N9" s="207" t="s">
        <v>145</v>
      </c>
      <c r="O9" s="207" t="s">
        <v>146</v>
      </c>
      <c r="P9" s="335" t="s">
        <v>147</v>
      </c>
      <c r="Q9" s="335" t="s">
        <v>148</v>
      </c>
      <c r="R9" s="335" t="s">
        <v>149</v>
      </c>
      <c r="S9" s="335" t="s">
        <v>150</v>
      </c>
      <c r="T9" s="335" t="s">
        <v>151</v>
      </c>
      <c r="Z9" s="80"/>
      <c r="AA9" s="81"/>
      <c r="AB9" s="82"/>
    </row>
    <row r="10" spans="1:28" ht="13.5" customHeight="1">
      <c r="A10" s="200" t="s">
        <v>152</v>
      </c>
      <c r="B10" s="83" t="s">
        <v>153</v>
      </c>
      <c r="C10" s="84"/>
      <c r="D10" s="255" t="s">
        <v>81</v>
      </c>
      <c r="E10" s="85"/>
      <c r="F10" s="86"/>
      <c r="G10" s="86"/>
      <c r="H10" s="86"/>
      <c r="I10" s="86"/>
      <c r="J10" s="86"/>
      <c r="K10" s="86"/>
      <c r="L10" s="86"/>
      <c r="M10" s="86"/>
      <c r="N10" s="86"/>
      <c r="O10" s="340"/>
      <c r="P10" s="348"/>
      <c r="Q10" s="348"/>
      <c r="R10" s="348"/>
      <c r="S10" s="348"/>
      <c r="T10" s="336"/>
    </row>
    <row r="11" spans="1:28" ht="13.5" customHeight="1">
      <c r="A11" s="191"/>
      <c r="B11" s="83"/>
      <c r="C11" s="84"/>
      <c r="D11" s="255"/>
      <c r="E11" s="87"/>
      <c r="F11" s="86"/>
      <c r="G11" s="86"/>
      <c r="H11" s="86"/>
      <c r="I11" s="86"/>
      <c r="J11" s="86"/>
      <c r="K11" s="86"/>
      <c r="L11" s="86"/>
      <c r="M11" s="86"/>
      <c r="N11" s="86"/>
      <c r="O11" s="340"/>
      <c r="P11" s="348"/>
      <c r="Q11" s="348"/>
      <c r="R11" s="348"/>
      <c r="S11" s="348"/>
      <c r="T11" s="336"/>
      <c r="AA11" s="77"/>
    </row>
    <row r="12" spans="1:28" ht="13.5" customHeight="1">
      <c r="A12" s="191"/>
      <c r="B12" s="83"/>
      <c r="C12" s="84"/>
      <c r="D12" s="255"/>
      <c r="E12" s="87"/>
      <c r="F12" s="86"/>
      <c r="G12" s="86"/>
      <c r="H12" s="86"/>
      <c r="I12" s="86"/>
      <c r="J12" s="86"/>
      <c r="K12" s="86"/>
      <c r="L12" s="86"/>
      <c r="M12" s="86"/>
      <c r="N12" s="86"/>
      <c r="O12" s="340"/>
      <c r="P12" s="348"/>
      <c r="Q12" s="348"/>
      <c r="R12" s="348"/>
      <c r="S12" s="348"/>
      <c r="T12" s="336"/>
    </row>
    <row r="13" spans="1:28" ht="13.5" customHeight="1">
      <c r="A13" s="191"/>
      <c r="B13" s="83"/>
      <c r="C13" s="84"/>
      <c r="D13" s="255"/>
      <c r="E13" s="88"/>
      <c r="F13" s="86"/>
      <c r="G13" s="86"/>
      <c r="H13" s="86"/>
      <c r="I13" s="86"/>
      <c r="J13" s="86"/>
      <c r="K13" s="86"/>
      <c r="L13" s="86"/>
      <c r="M13" s="86"/>
      <c r="N13" s="86"/>
      <c r="O13" s="340"/>
      <c r="P13" s="348"/>
      <c r="Q13" s="348"/>
      <c r="R13" s="348"/>
      <c r="S13" s="348"/>
      <c r="T13" s="336"/>
      <c r="AA13" s="77"/>
    </row>
    <row r="14" spans="1:28" ht="13.5" customHeight="1">
      <c r="A14" s="191"/>
      <c r="B14" s="251" t="s">
        <v>154</v>
      </c>
      <c r="C14" s="84"/>
      <c r="D14" s="255"/>
      <c r="E14" s="89"/>
      <c r="F14" s="86"/>
      <c r="G14" s="86"/>
      <c r="H14" s="86"/>
      <c r="I14" s="86"/>
      <c r="J14" s="86"/>
      <c r="K14" s="86"/>
      <c r="L14" s="86"/>
      <c r="M14" s="86"/>
      <c r="N14" s="86"/>
      <c r="O14" s="340"/>
      <c r="P14" s="348"/>
      <c r="Q14" s="348"/>
      <c r="R14" s="348"/>
      <c r="S14" s="348"/>
      <c r="T14" s="336"/>
    </row>
    <row r="15" spans="1:28" ht="13.5" customHeight="1">
      <c r="A15" s="191"/>
      <c r="B15" s="251"/>
      <c r="C15" s="84"/>
      <c r="D15" s="255">
        <v>-100</v>
      </c>
      <c r="E15" s="89"/>
      <c r="F15" s="86"/>
      <c r="G15" s="86"/>
      <c r="H15" s="86"/>
      <c r="I15" s="86"/>
      <c r="J15" s="86"/>
      <c r="K15" s="86"/>
      <c r="L15" s="86" t="s">
        <v>155</v>
      </c>
      <c r="M15" s="86"/>
      <c r="N15" s="86"/>
      <c r="O15" s="340"/>
      <c r="P15" s="348"/>
      <c r="Q15" s="348"/>
      <c r="R15" s="348"/>
      <c r="S15" s="348"/>
      <c r="T15" s="336"/>
    </row>
    <row r="16" spans="1:28" ht="13.5" customHeight="1">
      <c r="A16" s="191"/>
      <c r="B16" s="251"/>
      <c r="C16" s="84"/>
      <c r="D16" s="255">
        <v>50</v>
      </c>
      <c r="E16" s="89"/>
      <c r="F16" s="86"/>
      <c r="G16" s="86"/>
      <c r="H16" s="86"/>
      <c r="I16" s="86"/>
      <c r="J16" s="86"/>
      <c r="K16" s="86"/>
      <c r="L16" s="86"/>
      <c r="M16" s="86" t="s">
        <v>155</v>
      </c>
      <c r="N16" s="86"/>
      <c r="O16" s="340"/>
      <c r="P16" s="348"/>
      <c r="Q16" s="348"/>
      <c r="R16" s="348"/>
      <c r="S16" s="348"/>
      <c r="T16" s="336"/>
    </row>
    <row r="17" spans="1:26" ht="13.5" customHeight="1">
      <c r="A17" s="191"/>
      <c r="B17" s="251"/>
      <c r="C17" s="84"/>
      <c r="D17" s="255">
        <v>99</v>
      </c>
      <c r="E17" s="89"/>
      <c r="F17" s="86"/>
      <c r="G17" s="86"/>
      <c r="H17" s="86"/>
      <c r="I17" s="86"/>
      <c r="J17" s="86"/>
      <c r="K17" s="86"/>
      <c r="L17" s="86"/>
      <c r="M17" s="86"/>
      <c r="N17" s="86" t="s">
        <v>155</v>
      </c>
      <c r="O17" s="340"/>
      <c r="P17" s="348"/>
      <c r="Q17" s="348"/>
      <c r="R17" s="348"/>
      <c r="S17" s="348"/>
      <c r="T17" s="336"/>
    </row>
    <row r="18" spans="1:26" ht="13.5" customHeight="1">
      <c r="A18" s="191"/>
      <c r="B18" s="83"/>
      <c r="C18" s="84"/>
      <c r="D18" s="255">
        <v>100</v>
      </c>
      <c r="E18" s="89"/>
      <c r="F18" s="86" t="s">
        <v>155</v>
      </c>
      <c r="G18" s="86" t="s">
        <v>155</v>
      </c>
      <c r="H18" s="86" t="s">
        <v>155</v>
      </c>
      <c r="I18" s="86"/>
      <c r="J18" s="86" t="s">
        <v>155</v>
      </c>
      <c r="K18" s="86" t="s">
        <v>155</v>
      </c>
      <c r="L18" s="86"/>
      <c r="M18" s="86"/>
      <c r="N18" s="86"/>
      <c r="O18" s="340" t="s">
        <v>155</v>
      </c>
      <c r="P18" s="348"/>
      <c r="Q18" s="348"/>
      <c r="R18" s="348"/>
      <c r="S18" s="348"/>
      <c r="T18" s="336"/>
    </row>
    <row r="19" spans="1:26" ht="13.5" customHeight="1">
      <c r="A19" s="191"/>
      <c r="B19" s="83"/>
      <c r="C19" s="84"/>
      <c r="D19" s="255">
        <v>0</v>
      </c>
      <c r="E19" s="89"/>
      <c r="F19" s="86"/>
      <c r="G19" s="86"/>
      <c r="H19" s="86"/>
      <c r="I19" s="86" t="s">
        <v>155</v>
      </c>
      <c r="J19" s="86"/>
      <c r="K19" s="86"/>
      <c r="L19" s="86"/>
      <c r="M19" s="86"/>
      <c r="N19" s="86"/>
      <c r="O19" s="340"/>
      <c r="P19" s="348" t="s">
        <v>155</v>
      </c>
      <c r="Q19" s="348"/>
      <c r="R19" s="348"/>
      <c r="S19" s="348"/>
      <c r="T19" s="336"/>
    </row>
    <row r="20" spans="1:26" ht="13.5" customHeight="1">
      <c r="A20" s="191"/>
      <c r="B20" s="83"/>
      <c r="C20" s="84"/>
      <c r="D20" s="255">
        <v>1</v>
      </c>
      <c r="E20" s="89"/>
      <c r="F20" s="86"/>
      <c r="G20" s="86"/>
      <c r="H20" s="86"/>
      <c r="I20" s="86"/>
      <c r="J20" s="86"/>
      <c r="K20" s="86"/>
      <c r="L20" s="86"/>
      <c r="M20" s="86"/>
      <c r="N20" s="86"/>
      <c r="O20" s="340"/>
      <c r="P20" s="348"/>
      <c r="Q20" s="348" t="s">
        <v>155</v>
      </c>
      <c r="R20" s="348"/>
      <c r="S20" s="348"/>
      <c r="T20" s="336"/>
      <c r="Z20" s="90"/>
    </row>
    <row r="21" spans="1:26" ht="13.5" customHeight="1">
      <c r="A21" s="191"/>
      <c r="B21" s="83"/>
      <c r="C21" s="84"/>
      <c r="D21" s="255">
        <v>95</v>
      </c>
      <c r="E21" s="89"/>
      <c r="F21" s="86"/>
      <c r="G21" s="86"/>
      <c r="H21" s="86"/>
      <c r="I21" s="86"/>
      <c r="J21" s="86"/>
      <c r="K21" s="86"/>
      <c r="L21" s="86"/>
      <c r="M21" s="86"/>
      <c r="N21" s="86"/>
      <c r="O21" s="340"/>
      <c r="P21" s="348"/>
      <c r="Q21" s="348"/>
      <c r="R21" s="348"/>
      <c r="S21" s="348" t="s">
        <v>155</v>
      </c>
      <c r="T21" s="336"/>
      <c r="Z21" s="90"/>
    </row>
    <row r="22" spans="1:26" ht="13.5" customHeight="1">
      <c r="A22" s="191"/>
      <c r="B22" s="83"/>
      <c r="C22" s="84"/>
      <c r="D22" s="255">
        <v>1000000</v>
      </c>
      <c r="E22" s="89"/>
      <c r="F22" s="86"/>
      <c r="G22" s="86"/>
      <c r="H22" s="86"/>
      <c r="I22" s="86"/>
      <c r="J22" s="86"/>
      <c r="K22" s="86"/>
      <c r="L22" s="86"/>
      <c r="M22" s="86"/>
      <c r="N22" s="86"/>
      <c r="O22" s="340"/>
      <c r="P22" s="348"/>
      <c r="Q22" s="348"/>
      <c r="R22" s="348" t="s">
        <v>155</v>
      </c>
      <c r="S22" s="348"/>
      <c r="T22" s="336"/>
      <c r="Z22" s="90"/>
    </row>
    <row r="23" spans="1:26" ht="13.5" customHeight="1">
      <c r="A23" s="191"/>
      <c r="B23" s="83" t="s">
        <v>156</v>
      </c>
      <c r="C23" s="84"/>
      <c r="D23" s="255"/>
      <c r="E23" s="89"/>
      <c r="F23" s="86"/>
      <c r="G23" s="86"/>
      <c r="H23" s="86"/>
      <c r="I23" s="86"/>
      <c r="J23" s="86"/>
      <c r="K23" s="86"/>
      <c r="L23" s="86"/>
      <c r="M23" s="86"/>
      <c r="N23" s="86"/>
      <c r="O23" s="340"/>
      <c r="P23" s="348"/>
      <c r="Q23" s="348"/>
      <c r="R23" s="348"/>
      <c r="S23" s="348"/>
      <c r="T23" s="336"/>
      <c r="Z23" s="90"/>
    </row>
    <row r="24" spans="1:26" ht="13.5" customHeight="1">
      <c r="A24" s="191"/>
      <c r="B24" s="83"/>
      <c r="C24" s="84"/>
      <c r="D24" s="351">
        <v>-10</v>
      </c>
      <c r="E24" s="89"/>
      <c r="F24" s="86"/>
      <c r="G24" s="86"/>
      <c r="H24" s="86"/>
      <c r="I24" s="86"/>
      <c r="J24" s="86"/>
      <c r="K24" s="86" t="s">
        <v>155</v>
      </c>
      <c r="L24" s="86" t="s">
        <v>155</v>
      </c>
      <c r="M24" s="86"/>
      <c r="N24" s="86"/>
      <c r="O24" s="340"/>
      <c r="P24" s="348"/>
      <c r="Q24" s="348"/>
      <c r="R24" s="348"/>
      <c r="S24" s="348"/>
      <c r="T24" s="336"/>
      <c r="Z24" s="90"/>
    </row>
    <row r="25" spans="1:26" ht="13.5" customHeight="1">
      <c r="A25" s="191"/>
      <c r="B25" s="83"/>
      <c r="C25" s="84"/>
      <c r="D25" s="290">
        <v>0</v>
      </c>
      <c r="E25" s="89"/>
      <c r="F25" s="86"/>
      <c r="G25" s="86"/>
      <c r="H25" s="86" t="s">
        <v>155</v>
      </c>
      <c r="I25" s="86"/>
      <c r="J25" s="86"/>
      <c r="K25" s="86"/>
      <c r="L25" s="86"/>
      <c r="M25" s="86"/>
      <c r="N25" s="86"/>
      <c r="O25" s="340"/>
      <c r="P25" s="348"/>
      <c r="Q25" s="348"/>
      <c r="R25" s="348"/>
      <c r="S25" s="348"/>
      <c r="T25" s="336"/>
      <c r="Z25" s="90"/>
    </row>
    <row r="26" spans="1:26" ht="13.5" customHeight="1">
      <c r="A26" s="191"/>
      <c r="B26" s="83"/>
      <c r="C26" s="84"/>
      <c r="D26" s="539">
        <v>1</v>
      </c>
      <c r="E26" s="89"/>
      <c r="F26" s="86"/>
      <c r="G26" s="86"/>
      <c r="H26" s="86"/>
      <c r="I26" s="86"/>
      <c r="J26" s="86" t="s">
        <v>155</v>
      </c>
      <c r="K26" s="86"/>
      <c r="L26" s="86"/>
      <c r="M26" s="86"/>
      <c r="N26" s="86"/>
      <c r="O26" s="340" t="s">
        <v>155</v>
      </c>
      <c r="P26" s="348"/>
      <c r="Q26" s="348" t="s">
        <v>155</v>
      </c>
      <c r="R26" s="348"/>
      <c r="S26" s="348"/>
      <c r="T26" s="336"/>
      <c r="Z26" s="90"/>
    </row>
    <row r="27" spans="1:26" ht="13.5" customHeight="1">
      <c r="A27" s="191"/>
      <c r="B27" s="83"/>
      <c r="C27" s="84"/>
      <c r="D27" s="541">
        <v>5</v>
      </c>
      <c r="E27" s="89"/>
      <c r="F27" s="292"/>
      <c r="G27" s="86"/>
      <c r="H27" s="86"/>
      <c r="I27" s="86"/>
      <c r="J27" s="86"/>
      <c r="K27" s="86"/>
      <c r="L27" s="86"/>
      <c r="M27" s="86" t="s">
        <v>155</v>
      </c>
      <c r="N27" s="86"/>
      <c r="O27" s="340"/>
      <c r="P27" s="348"/>
      <c r="Q27" s="348"/>
      <c r="R27" s="348"/>
      <c r="S27" s="348"/>
      <c r="T27" s="336"/>
      <c r="Z27" s="90"/>
    </row>
    <row r="28" spans="1:26" ht="13.5" customHeight="1">
      <c r="A28" s="191"/>
      <c r="B28" s="83"/>
      <c r="C28" s="84"/>
      <c r="D28" s="540">
        <v>10</v>
      </c>
      <c r="E28" s="542"/>
      <c r="F28" s="292" t="s">
        <v>155</v>
      </c>
      <c r="G28" s="86"/>
      <c r="H28" s="86"/>
      <c r="I28" s="86" t="s">
        <v>155</v>
      </c>
      <c r="J28" s="86"/>
      <c r="K28" s="86"/>
      <c r="L28" s="86"/>
      <c r="M28" s="86"/>
      <c r="N28" s="86" t="s">
        <v>155</v>
      </c>
      <c r="O28" s="340"/>
      <c r="P28" s="348" t="s">
        <v>155</v>
      </c>
      <c r="Q28" s="348"/>
      <c r="R28" s="348"/>
      <c r="S28" s="348" t="s">
        <v>155</v>
      </c>
      <c r="T28" s="336"/>
    </row>
    <row r="29" spans="1:26" ht="13.5" customHeight="1">
      <c r="A29" s="191"/>
      <c r="B29" s="83"/>
      <c r="C29" s="84"/>
      <c r="D29" s="543">
        <v>100</v>
      </c>
      <c r="E29" s="366"/>
      <c r="F29" s="292"/>
      <c r="G29" s="86"/>
      <c r="H29" s="86"/>
      <c r="I29" s="86"/>
      <c r="J29" s="86"/>
      <c r="K29" s="86"/>
      <c r="L29" s="86"/>
      <c r="M29" s="86"/>
      <c r="N29" s="86"/>
      <c r="O29" s="340"/>
      <c r="P29" s="348"/>
      <c r="Q29" s="348"/>
      <c r="R29" s="348" t="s">
        <v>155</v>
      </c>
      <c r="S29" s="348"/>
      <c r="T29" s="336"/>
    </row>
    <row r="30" spans="1:26" ht="13.5" customHeight="1">
      <c r="A30" s="191"/>
      <c r="B30" s="83"/>
      <c r="C30" s="84"/>
      <c r="D30" s="374" t="s">
        <v>157</v>
      </c>
      <c r="E30" s="89"/>
      <c r="F30" s="86"/>
      <c r="G30" s="283" t="s">
        <v>155</v>
      </c>
      <c r="H30" s="86"/>
      <c r="I30" s="86"/>
      <c r="J30" s="86"/>
      <c r="K30" s="86"/>
      <c r="L30" s="86"/>
      <c r="M30" s="86"/>
      <c r="N30" s="86"/>
      <c r="O30" s="340"/>
      <c r="P30" s="348"/>
      <c r="Q30" s="348"/>
      <c r="R30" s="348"/>
      <c r="S30" s="348"/>
      <c r="T30" s="336"/>
    </row>
    <row r="31" spans="1:26" ht="13.5" customHeight="1">
      <c r="A31" s="191"/>
      <c r="B31" s="83"/>
      <c r="C31" s="84"/>
      <c r="D31" s="293"/>
      <c r="E31" s="89"/>
      <c r="F31" s="86"/>
      <c r="G31" s="86"/>
      <c r="H31" s="86"/>
      <c r="I31" s="86"/>
      <c r="J31" s="86"/>
      <c r="K31" s="86"/>
      <c r="L31" s="86"/>
      <c r="M31" s="86"/>
      <c r="N31" s="86"/>
      <c r="O31" s="340"/>
      <c r="P31" s="348"/>
      <c r="Q31" s="348"/>
      <c r="R31" s="348"/>
      <c r="S31" s="348"/>
      <c r="T31" s="336"/>
    </row>
    <row r="32" spans="1:26" ht="13.5" customHeight="1">
      <c r="A32" s="191"/>
      <c r="B32" s="83"/>
      <c r="C32" s="84"/>
      <c r="D32" s="255"/>
      <c r="E32" s="89"/>
      <c r="F32" s="86"/>
      <c r="G32" s="86"/>
      <c r="H32" s="86"/>
      <c r="I32" s="86"/>
      <c r="J32" s="86"/>
      <c r="K32" s="86"/>
      <c r="L32" s="86"/>
      <c r="M32" s="86"/>
      <c r="N32" s="86"/>
      <c r="O32" s="340"/>
      <c r="P32" s="348"/>
      <c r="Q32" s="348"/>
      <c r="R32" s="348"/>
      <c r="S32" s="348"/>
      <c r="T32" s="336"/>
    </row>
    <row r="33" spans="1:20" ht="13.5" customHeight="1">
      <c r="A33" s="191"/>
      <c r="B33" s="83"/>
      <c r="C33" s="84"/>
      <c r="D33" s="255"/>
      <c r="E33" s="89"/>
      <c r="F33" s="86"/>
      <c r="G33" s="86"/>
      <c r="H33" s="86"/>
      <c r="I33" s="86"/>
      <c r="J33" s="86"/>
      <c r="K33" s="86"/>
      <c r="L33" s="86"/>
      <c r="M33" s="86"/>
      <c r="N33" s="86"/>
      <c r="O33" s="340"/>
      <c r="P33" s="348"/>
      <c r="Q33" s="348"/>
      <c r="R33" s="348"/>
      <c r="S33" s="348"/>
      <c r="T33" s="336"/>
    </row>
    <row r="34" spans="1:20" ht="13.5" customHeight="1">
      <c r="A34" s="191"/>
      <c r="B34" s="83"/>
      <c r="C34" s="84"/>
      <c r="D34" s="255"/>
      <c r="E34" s="89"/>
      <c r="F34" s="86"/>
      <c r="G34" s="86"/>
      <c r="H34" s="86"/>
      <c r="I34" s="86"/>
      <c r="J34" s="86"/>
      <c r="K34" s="86"/>
      <c r="L34" s="86"/>
      <c r="M34" s="86"/>
      <c r="N34" s="86"/>
      <c r="O34" s="340"/>
      <c r="P34" s="348"/>
      <c r="Q34" s="348"/>
      <c r="R34" s="348"/>
      <c r="S34" s="348"/>
      <c r="T34" s="336"/>
    </row>
    <row r="35" spans="1:20" ht="13.5" customHeight="1">
      <c r="A35" s="191"/>
      <c r="B35" s="83"/>
      <c r="C35" s="84"/>
      <c r="D35" s="255"/>
      <c r="E35" s="89"/>
      <c r="F35" s="86"/>
      <c r="G35" s="86"/>
      <c r="H35" s="86"/>
      <c r="I35" s="86"/>
      <c r="J35" s="86"/>
      <c r="K35" s="86"/>
      <c r="L35" s="86"/>
      <c r="M35" s="86"/>
      <c r="N35" s="86"/>
      <c r="O35" s="340"/>
      <c r="P35" s="348"/>
      <c r="Q35" s="348"/>
      <c r="R35" s="348"/>
      <c r="S35" s="348"/>
      <c r="T35" s="336"/>
    </row>
    <row r="36" spans="1:20" ht="13.5" customHeight="1">
      <c r="A36" s="191"/>
      <c r="B36" s="83"/>
      <c r="C36" s="84"/>
      <c r="D36" s="255"/>
      <c r="E36" s="89"/>
      <c r="F36" s="86"/>
      <c r="G36" s="86"/>
      <c r="H36" s="86"/>
      <c r="I36" s="86"/>
      <c r="J36" s="86"/>
      <c r="K36" s="86"/>
      <c r="L36" s="86"/>
      <c r="M36" s="86"/>
      <c r="N36" s="86"/>
      <c r="O36" s="340"/>
      <c r="P36" s="348"/>
      <c r="Q36" s="348"/>
      <c r="R36" s="348"/>
      <c r="S36" s="348"/>
      <c r="T36" s="336"/>
    </row>
    <row r="37" spans="1:20" ht="13.5" customHeight="1">
      <c r="A37" s="191"/>
      <c r="B37" s="83"/>
      <c r="C37" s="84"/>
      <c r="D37" s="255"/>
      <c r="E37" s="89"/>
      <c r="F37" s="86"/>
      <c r="G37" s="86"/>
      <c r="H37" s="86"/>
      <c r="I37" s="86"/>
      <c r="J37" s="86"/>
      <c r="K37" s="86"/>
      <c r="L37" s="86"/>
      <c r="M37" s="86"/>
      <c r="N37" s="86"/>
      <c r="O37" s="340"/>
      <c r="P37" s="348"/>
      <c r="Q37" s="348"/>
      <c r="R37" s="348"/>
      <c r="S37" s="348"/>
      <c r="T37" s="336"/>
    </row>
    <row r="38" spans="1:20" ht="13.5" customHeight="1">
      <c r="A38" s="191"/>
      <c r="B38" s="83"/>
      <c r="C38" s="84"/>
      <c r="D38" s="255"/>
      <c r="E38" s="89"/>
      <c r="F38" s="86"/>
      <c r="G38" s="86"/>
      <c r="H38" s="86"/>
      <c r="I38" s="86"/>
      <c r="J38" s="86"/>
      <c r="K38" s="86"/>
      <c r="L38" s="86"/>
      <c r="M38" s="86"/>
      <c r="N38" s="86"/>
      <c r="O38" s="340"/>
      <c r="P38" s="348"/>
      <c r="Q38" s="348"/>
      <c r="R38" s="348"/>
      <c r="S38" s="348"/>
      <c r="T38" s="336"/>
    </row>
    <row r="39" spans="1:20" ht="13.5" customHeight="1">
      <c r="A39" s="191"/>
      <c r="B39" s="83"/>
      <c r="C39" s="84"/>
      <c r="D39" s="255"/>
      <c r="E39" s="89"/>
      <c r="F39" s="86"/>
      <c r="G39" s="86"/>
      <c r="H39" s="86"/>
      <c r="I39" s="86"/>
      <c r="J39" s="86"/>
      <c r="K39" s="86"/>
      <c r="L39" s="86"/>
      <c r="M39" s="86"/>
      <c r="N39" s="86"/>
      <c r="O39" s="340"/>
      <c r="P39" s="348"/>
      <c r="Q39" s="348"/>
      <c r="R39" s="348"/>
      <c r="S39" s="348"/>
      <c r="T39" s="336"/>
    </row>
    <row r="40" spans="1:20" ht="13.5" customHeight="1">
      <c r="A40" s="191"/>
      <c r="B40" s="91"/>
      <c r="C40" s="92"/>
      <c r="D40" s="93"/>
      <c r="E40" s="94"/>
      <c r="F40" s="95"/>
      <c r="G40" s="95"/>
      <c r="H40" s="95"/>
      <c r="I40" s="95"/>
      <c r="J40" s="95"/>
      <c r="K40" s="95"/>
      <c r="L40" s="95"/>
      <c r="M40" s="95"/>
      <c r="N40" s="95"/>
      <c r="O40" s="341"/>
      <c r="P40" s="348"/>
      <c r="Q40" s="348"/>
      <c r="R40" s="348"/>
      <c r="S40" s="348"/>
      <c r="T40" s="336"/>
    </row>
    <row r="41" spans="1:20" ht="12.75" customHeight="1">
      <c r="A41" s="191"/>
      <c r="B41" s="284"/>
      <c r="C41" s="285"/>
      <c r="D41" s="286"/>
      <c r="E41" s="89"/>
      <c r="F41" s="287"/>
      <c r="G41" s="287"/>
      <c r="H41" s="287"/>
      <c r="I41" s="287"/>
      <c r="J41" s="287"/>
      <c r="K41" s="287"/>
      <c r="L41" s="287"/>
      <c r="M41" s="287"/>
      <c r="N41" s="287"/>
      <c r="O41" s="342"/>
      <c r="P41" s="348"/>
      <c r="Q41" s="348"/>
      <c r="R41" s="348"/>
      <c r="S41" s="348"/>
      <c r="T41" s="336"/>
    </row>
    <row r="42" spans="1:20" ht="13.5" customHeight="1">
      <c r="A42" s="199" t="s">
        <v>158</v>
      </c>
      <c r="B42" s="96" t="s">
        <v>159</v>
      </c>
      <c r="C42" s="97"/>
      <c r="D42" s="98">
        <v>100</v>
      </c>
      <c r="E42" s="99"/>
      <c r="F42" s="100"/>
      <c r="G42" s="100" t="s">
        <v>155</v>
      </c>
      <c r="H42" s="100" t="s">
        <v>155</v>
      </c>
      <c r="I42" s="100"/>
      <c r="J42" s="100" t="s">
        <v>155</v>
      </c>
      <c r="K42" s="100" t="s">
        <v>155</v>
      </c>
      <c r="L42" s="100"/>
      <c r="M42" s="100"/>
      <c r="N42" s="100"/>
      <c r="O42" s="343" t="s">
        <v>155</v>
      </c>
      <c r="P42" s="348"/>
      <c r="Q42" s="348"/>
      <c r="R42" s="348"/>
      <c r="S42" s="348"/>
      <c r="T42" s="336"/>
    </row>
    <row r="43" spans="1:20" ht="13.5" customHeight="1">
      <c r="A43" s="198"/>
      <c r="B43" s="96"/>
      <c r="C43" s="97"/>
      <c r="D43" s="98">
        <v>-10</v>
      </c>
      <c r="E43" s="99"/>
      <c r="F43" s="100"/>
      <c r="G43" s="100"/>
      <c r="H43" s="100"/>
      <c r="I43" s="100"/>
      <c r="J43" s="100"/>
      <c r="K43" s="100"/>
      <c r="L43" s="100" t="s">
        <v>155</v>
      </c>
      <c r="N43" s="100"/>
      <c r="O43" s="343"/>
      <c r="P43" s="348"/>
      <c r="Q43" s="348"/>
      <c r="R43" s="348"/>
      <c r="S43" s="348"/>
      <c r="T43" s="336"/>
    </row>
    <row r="44" spans="1:20" ht="13.5" customHeight="1">
      <c r="A44" s="198"/>
      <c r="B44" s="96"/>
      <c r="C44" s="97"/>
      <c r="D44" s="98">
        <v>0</v>
      </c>
      <c r="E44" s="99"/>
      <c r="F44" s="100"/>
      <c r="G44" s="100"/>
      <c r="H44" s="100"/>
      <c r="I44" s="100" t="s">
        <v>155</v>
      </c>
      <c r="J44" s="100"/>
      <c r="K44" s="100"/>
      <c r="L44" s="100"/>
      <c r="M44" s="100"/>
      <c r="N44" s="100"/>
      <c r="O44" s="343"/>
      <c r="P44" s="348" t="s">
        <v>155</v>
      </c>
      <c r="Q44" s="348"/>
      <c r="R44" s="348"/>
      <c r="S44" s="348"/>
      <c r="T44" s="336"/>
    </row>
    <row r="45" spans="1:20" ht="13.5" customHeight="1">
      <c r="A45" s="198"/>
      <c r="B45" s="96"/>
      <c r="C45" s="97"/>
      <c r="D45" s="98">
        <v>1</v>
      </c>
      <c r="E45" s="99"/>
      <c r="F45" s="100"/>
      <c r="G45" s="100"/>
      <c r="H45" s="100"/>
      <c r="I45" s="100"/>
      <c r="J45" s="100"/>
      <c r="K45" s="100"/>
      <c r="L45" s="100"/>
      <c r="M45" s="100"/>
      <c r="N45" s="100"/>
      <c r="O45" s="343"/>
      <c r="P45" s="348"/>
      <c r="Q45" s="348" t="s">
        <v>155</v>
      </c>
      <c r="R45" s="348"/>
      <c r="S45" s="348"/>
      <c r="T45" s="336"/>
    </row>
    <row r="46" spans="1:20" ht="13.5" customHeight="1">
      <c r="A46" s="198"/>
      <c r="B46" s="96"/>
      <c r="C46" s="97"/>
      <c r="D46" s="98">
        <v>9</v>
      </c>
      <c r="E46" s="99"/>
      <c r="F46" s="100"/>
      <c r="G46" s="100"/>
      <c r="H46" s="100"/>
      <c r="I46" s="100"/>
      <c r="J46" s="100"/>
      <c r="K46" s="100"/>
      <c r="L46" s="100"/>
      <c r="M46" s="100"/>
      <c r="N46" s="100" t="s">
        <v>155</v>
      </c>
      <c r="O46" s="343"/>
      <c r="P46" s="348"/>
      <c r="Q46" s="348"/>
      <c r="R46" s="348"/>
      <c r="S46" s="348" t="s">
        <v>155</v>
      </c>
      <c r="T46" s="336"/>
    </row>
    <row r="47" spans="1:20" ht="13.5" customHeight="1">
      <c r="A47" s="198"/>
      <c r="B47" s="101"/>
      <c r="C47" s="102"/>
      <c r="D47" s="103">
        <v>10</v>
      </c>
      <c r="E47" s="104"/>
      <c r="F47" s="86" t="s">
        <v>155</v>
      </c>
      <c r="G47" s="86"/>
      <c r="H47" s="86"/>
      <c r="I47" s="86"/>
      <c r="J47" s="86"/>
      <c r="K47" s="86"/>
      <c r="L47" s="86"/>
      <c r="M47" s="86" t="s">
        <v>155</v>
      </c>
      <c r="N47" s="86"/>
      <c r="O47" s="340"/>
      <c r="P47" s="348"/>
      <c r="Q47" s="348"/>
      <c r="R47" s="348"/>
      <c r="S47" s="348"/>
      <c r="T47" s="336"/>
    </row>
    <row r="48" spans="1:20" ht="13.5" customHeight="1">
      <c r="A48" s="198"/>
      <c r="B48" s="101"/>
      <c r="C48" s="102"/>
      <c r="D48" s="103">
        <v>10000</v>
      </c>
      <c r="E48" s="104"/>
      <c r="F48" s="86"/>
      <c r="G48" s="260"/>
      <c r="H48" s="86"/>
      <c r="I48" s="86"/>
      <c r="J48" s="86"/>
      <c r="K48" s="86"/>
      <c r="L48" s="86"/>
      <c r="M48" s="86"/>
      <c r="N48" s="86"/>
      <c r="O48" s="340"/>
      <c r="P48" s="348"/>
      <c r="Q48" s="348"/>
      <c r="R48" s="348" t="s">
        <v>155</v>
      </c>
      <c r="S48" s="348"/>
      <c r="T48" s="336"/>
    </row>
    <row r="49" spans="1:29" ht="13.5" customHeight="1">
      <c r="A49" s="198"/>
      <c r="B49" s="101"/>
      <c r="C49" s="105"/>
      <c r="D49" s="103"/>
      <c r="E49" s="106"/>
      <c r="F49" s="86"/>
      <c r="G49" s="86"/>
      <c r="H49" s="86"/>
      <c r="I49" s="86"/>
      <c r="J49" s="86"/>
      <c r="K49" s="86"/>
      <c r="L49" s="86"/>
      <c r="M49" s="86"/>
      <c r="N49" s="86"/>
      <c r="O49" s="340"/>
      <c r="P49" s="348"/>
      <c r="Q49" s="348"/>
      <c r="R49" s="348"/>
      <c r="S49" s="348"/>
      <c r="T49" s="336"/>
    </row>
    <row r="50" spans="1:29" ht="13.5" customHeight="1">
      <c r="A50" s="198"/>
      <c r="B50" s="101"/>
      <c r="C50" s="105"/>
      <c r="D50" s="103"/>
      <c r="E50" s="106"/>
      <c r="F50" s="86"/>
      <c r="G50" s="86"/>
      <c r="H50" s="86"/>
      <c r="I50" s="86"/>
      <c r="J50" s="86"/>
      <c r="K50" s="86"/>
      <c r="L50" s="86"/>
      <c r="M50" s="86"/>
      <c r="N50" s="86"/>
      <c r="O50" s="340"/>
      <c r="P50" s="348"/>
      <c r="Q50" s="348"/>
      <c r="R50" s="348"/>
      <c r="S50" s="348"/>
      <c r="T50" s="336"/>
    </row>
    <row r="51" spans="1:29" ht="13.5" customHeight="1">
      <c r="A51" s="198"/>
      <c r="B51" s="101" t="s">
        <v>160</v>
      </c>
      <c r="C51" s="105"/>
      <c r="D51" s="103"/>
      <c r="E51" s="106"/>
      <c r="F51" s="86"/>
      <c r="G51" s="86"/>
      <c r="H51" s="86"/>
      <c r="I51" s="86"/>
      <c r="J51" s="86"/>
      <c r="K51" s="86"/>
      <c r="L51" s="86"/>
      <c r="M51" s="86"/>
      <c r="N51" s="86"/>
      <c r="O51" s="340"/>
      <c r="P51" s="348"/>
      <c r="Q51" s="348"/>
      <c r="R51" s="348"/>
      <c r="S51" s="348"/>
      <c r="T51" s="336"/>
    </row>
    <row r="52" spans="1:29" ht="13.5" customHeight="1">
      <c r="A52" s="198"/>
      <c r="B52" s="101"/>
      <c r="C52" s="105"/>
      <c r="D52" s="103"/>
      <c r="E52" s="106"/>
      <c r="F52" s="86"/>
      <c r="G52" s="86"/>
      <c r="H52" s="86"/>
      <c r="I52" s="86"/>
      <c r="J52" s="86"/>
      <c r="K52" s="86"/>
      <c r="L52" s="86"/>
      <c r="M52" s="86"/>
      <c r="N52" s="86"/>
      <c r="O52" s="340"/>
      <c r="P52" s="348"/>
      <c r="Q52" s="348"/>
      <c r="R52" s="348"/>
      <c r="S52" s="348"/>
      <c r="T52" s="336"/>
    </row>
    <row r="53" spans="1:29" ht="13.5" customHeight="1">
      <c r="A53" s="198"/>
      <c r="B53" s="101" t="s">
        <v>161</v>
      </c>
      <c r="C53" s="105"/>
      <c r="D53" s="103"/>
      <c r="E53" s="106"/>
      <c r="F53" s="86"/>
      <c r="G53" s="86"/>
      <c r="H53" s="86"/>
      <c r="I53" s="86"/>
      <c r="J53" s="86"/>
      <c r="K53" s="86"/>
      <c r="L53" s="86"/>
      <c r="M53" s="86"/>
      <c r="N53" s="86"/>
      <c r="O53" s="340"/>
      <c r="P53" s="348"/>
      <c r="Q53" s="348"/>
      <c r="R53" s="348"/>
      <c r="S53" s="348"/>
      <c r="T53" s="336"/>
    </row>
    <row r="54" spans="1:29" ht="13.5" customHeight="1">
      <c r="A54" s="198"/>
      <c r="B54" s="101"/>
      <c r="C54" s="105"/>
      <c r="D54" s="103"/>
      <c r="E54" s="106"/>
      <c r="F54" s="86"/>
      <c r="G54" s="86"/>
      <c r="H54" s="86"/>
      <c r="I54" s="86"/>
      <c r="J54" s="86"/>
      <c r="K54" s="86"/>
      <c r="L54" s="86"/>
      <c r="M54" s="86"/>
      <c r="N54" s="86"/>
      <c r="O54" s="340"/>
      <c r="P54" s="348"/>
      <c r="Q54" s="348"/>
      <c r="R54" s="348"/>
      <c r="S54" s="348"/>
      <c r="T54" s="336"/>
    </row>
    <row r="55" spans="1:29" ht="13.5" customHeight="1">
      <c r="A55" s="198"/>
      <c r="B55" s="182"/>
      <c r="C55" s="183"/>
      <c r="D55" s="184"/>
      <c r="E55" s="185"/>
      <c r="F55" s="201"/>
      <c r="G55" s="201"/>
      <c r="H55" s="201"/>
      <c r="I55" s="201"/>
      <c r="J55" s="201"/>
      <c r="K55" s="201"/>
      <c r="L55" s="201"/>
      <c r="M55" s="201"/>
      <c r="N55" s="201"/>
      <c r="O55" s="344"/>
      <c r="P55" s="348"/>
      <c r="Q55" s="348"/>
      <c r="R55" s="348"/>
      <c r="S55" s="348"/>
      <c r="T55" s="336"/>
    </row>
    <row r="56" spans="1:29" ht="13.5" customHeight="1">
      <c r="A56" s="199" t="s">
        <v>162</v>
      </c>
      <c r="B56" s="410" t="s">
        <v>163</v>
      </c>
      <c r="C56" s="411"/>
      <c r="D56" s="412"/>
      <c r="E56" s="367"/>
      <c r="F56" s="202" t="s">
        <v>118</v>
      </c>
      <c r="G56" s="202" t="s">
        <v>62</v>
      </c>
      <c r="H56" s="202" t="s">
        <v>62</v>
      </c>
      <c r="I56" s="202" t="s">
        <v>119</v>
      </c>
      <c r="J56" s="202" t="s">
        <v>119</v>
      </c>
      <c r="K56" s="202" t="s">
        <v>62</v>
      </c>
      <c r="L56" s="202" t="s">
        <v>62</v>
      </c>
      <c r="M56" s="202" t="s">
        <v>118</v>
      </c>
      <c r="N56" s="202" t="s">
        <v>119</v>
      </c>
      <c r="O56" s="345" t="s">
        <v>118</v>
      </c>
      <c r="P56" s="349" t="s">
        <v>119</v>
      </c>
      <c r="Q56" s="349" t="s">
        <v>119</v>
      </c>
      <c r="R56" s="349" t="s">
        <v>118</v>
      </c>
      <c r="S56" s="349" t="s">
        <v>119</v>
      </c>
      <c r="T56" s="337"/>
    </row>
    <row r="57" spans="1:29" ht="45.75" customHeight="1">
      <c r="A57" s="198"/>
      <c r="B57" s="424" t="s">
        <v>164</v>
      </c>
      <c r="C57" s="424"/>
      <c r="D57" s="424"/>
      <c r="E57" s="108"/>
      <c r="F57" s="107" t="s">
        <v>165</v>
      </c>
      <c r="G57" s="107" t="s">
        <v>165</v>
      </c>
      <c r="H57" s="107" t="s">
        <v>165</v>
      </c>
      <c r="I57" s="107" t="s">
        <v>165</v>
      </c>
      <c r="J57" s="107" t="s">
        <v>165</v>
      </c>
      <c r="K57" s="107" t="s">
        <v>165</v>
      </c>
      <c r="L57" s="107" t="s">
        <v>165</v>
      </c>
      <c r="M57" s="107" t="s">
        <v>165</v>
      </c>
      <c r="N57" s="107" t="s">
        <v>165</v>
      </c>
      <c r="O57" s="346" t="s">
        <v>165</v>
      </c>
      <c r="P57" s="349" t="s">
        <v>165</v>
      </c>
      <c r="Q57" s="349" t="s">
        <v>165</v>
      </c>
      <c r="R57" s="349" t="s">
        <v>165</v>
      </c>
      <c r="S57" s="349" t="s">
        <v>165</v>
      </c>
      <c r="T57" s="337"/>
    </row>
    <row r="58" spans="1:29" ht="61.5" customHeight="1">
      <c r="A58" s="198"/>
      <c r="B58" s="406" t="s">
        <v>166</v>
      </c>
      <c r="C58" s="406"/>
      <c r="D58" s="406"/>
      <c r="E58" s="109"/>
      <c r="F58" s="110">
        <v>46103</v>
      </c>
      <c r="G58" s="110">
        <v>46103</v>
      </c>
      <c r="H58" s="110">
        <v>46103</v>
      </c>
      <c r="I58" s="110">
        <v>46103</v>
      </c>
      <c r="J58" s="110">
        <v>46103</v>
      </c>
      <c r="K58" s="110">
        <v>46103</v>
      </c>
      <c r="L58" s="110">
        <v>46103</v>
      </c>
      <c r="M58" s="110">
        <v>46103</v>
      </c>
      <c r="N58" s="110">
        <v>46103</v>
      </c>
      <c r="O58" s="110">
        <v>46103</v>
      </c>
      <c r="P58" s="110">
        <v>46103</v>
      </c>
      <c r="Q58" s="110">
        <v>46103</v>
      </c>
      <c r="R58" s="110">
        <v>46103</v>
      </c>
      <c r="S58" s="110">
        <v>46103</v>
      </c>
      <c r="T58" s="339"/>
      <c r="AC58" s="338"/>
    </row>
    <row r="59" spans="1:29" ht="11.25">
      <c r="A59" s="214"/>
      <c r="B59" s="409" t="s">
        <v>167</v>
      </c>
      <c r="C59" s="409"/>
      <c r="D59" s="409"/>
      <c r="E59" s="195"/>
      <c r="F59" s="544"/>
      <c r="G59" s="196"/>
      <c r="H59" s="196"/>
      <c r="I59" s="196"/>
      <c r="J59" s="196"/>
      <c r="K59" s="196"/>
      <c r="L59" s="107"/>
      <c r="M59" s="196"/>
      <c r="N59" s="196"/>
      <c r="O59" s="347"/>
      <c r="P59" s="350"/>
      <c r="Q59" s="350"/>
      <c r="R59" s="350"/>
      <c r="S59" s="350"/>
    </row>
    <row r="60" spans="1:29" ht="11.25">
      <c r="A60" s="79"/>
      <c r="B60" s="75"/>
      <c r="C60" s="364"/>
      <c r="D60" s="75"/>
      <c r="F60" s="337"/>
    </row>
    <row r="61" spans="1:29" ht="13.5" customHeight="1">
      <c r="D61" s="364"/>
    </row>
    <row r="62" spans="1:29" ht="13.5" customHeight="1">
      <c r="D62" s="364"/>
    </row>
    <row r="63" spans="1:29" ht="13.5" customHeight="1">
      <c r="D63" s="364"/>
    </row>
  </sheetData>
  <mergeCells count="28"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  <mergeCell ref="F6:K6"/>
    <mergeCell ref="F4:K4"/>
    <mergeCell ref="L6:N6"/>
    <mergeCell ref="F7:K7"/>
    <mergeCell ref="C7:E7"/>
    <mergeCell ref="C5:T5"/>
    <mergeCell ref="B58:D58"/>
    <mergeCell ref="A7:B7"/>
    <mergeCell ref="B59:D59"/>
    <mergeCell ref="B56:D56"/>
    <mergeCell ref="C3:E3"/>
    <mergeCell ref="A3:B3"/>
    <mergeCell ref="A4:B4"/>
    <mergeCell ref="C4:D4"/>
    <mergeCell ref="D28:E28"/>
    <mergeCell ref="A6:B6"/>
    <mergeCell ref="B57:D57"/>
    <mergeCell ref="A5:B5"/>
  </mergeCells>
  <phoneticPr fontId="34" type="noConversion"/>
  <dataValidations count="3">
    <dataValidation type="list" allowBlank="1" showInputMessage="1" showErrorMessage="1" sqref="F56:T56" xr:uid="{5BC03779-0D11-4E92-BBBB-646A286273BB}">
      <formula1>"N,A,B, "</formula1>
    </dataValidation>
    <dataValidation type="list" allowBlank="1" showInputMessage="1" showErrorMessage="1" sqref="F57:T57 L59 F59:F60" xr:uid="{045005C5-F1EA-43F7-ADDF-32DEE2AECDF1}">
      <formula1>"P,F, "</formula1>
    </dataValidation>
    <dataValidation type="list" allowBlank="1" showInputMessage="1" showErrorMessage="1" sqref="F44:O55 F43:L43 N43:O43 F10:O42 P10:T55" xr:uid="{C7894FBE-A533-4E20-88A0-D53BC190CB89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21F1-BC46-4BD3-842C-290A673B6B69}">
  <dimension ref="A1:W45"/>
  <sheetViews>
    <sheetView workbookViewId="0">
      <pane ySplit="9" topLeftCell="B29" activePane="bottomLeft" state="frozen"/>
      <selection pane="bottomLeft" activeCell="O43" sqref="O43"/>
    </sheetView>
  </sheetViews>
  <sheetFormatPr defaultColWidth="9" defaultRowHeight="13.5" customHeight="1"/>
  <cols>
    <col min="1" max="1" width="6.85546875" style="111" customWidth="1"/>
    <col min="2" max="2" width="13.28515625" style="115" customWidth="1"/>
    <col min="3" max="3" width="10.85546875" style="111" customWidth="1"/>
    <col min="4" max="4" width="11.28515625" style="112" customWidth="1"/>
    <col min="5" max="5" width="1.85546875" style="111" hidden="1" customWidth="1"/>
    <col min="6" max="7" width="4.140625" style="111" bestFit="1" customWidth="1"/>
    <col min="8" max="8" width="2.85546875" style="111" customWidth="1"/>
    <col min="9" max="10" width="4.140625" style="111" bestFit="1" customWidth="1"/>
    <col min="11" max="19" width="2.85546875" style="111" customWidth="1"/>
    <col min="20" max="20" width="4.140625" style="111" bestFit="1" customWidth="1"/>
    <col min="21" max="21" width="2.85546875" style="111" customWidth="1"/>
    <col min="22" max="16384" width="9" style="111"/>
  </cols>
  <sheetData>
    <row r="1" spans="1:23" ht="13.5" customHeight="1" thickBot="1">
      <c r="A1" s="118"/>
      <c r="B1" s="177"/>
    </row>
    <row r="2" spans="1:23" ht="13.5" customHeight="1">
      <c r="A2" s="425" t="s">
        <v>129</v>
      </c>
      <c r="B2" s="426"/>
      <c r="C2" s="486" t="s">
        <v>84</v>
      </c>
      <c r="D2" s="487"/>
      <c r="F2" s="426" t="s">
        <v>72</v>
      </c>
      <c r="G2" s="426"/>
      <c r="H2" s="426"/>
      <c r="I2" s="426"/>
      <c r="J2" s="426"/>
      <c r="K2" s="426"/>
      <c r="L2" s="483" t="s">
        <v>84</v>
      </c>
      <c r="M2" s="484"/>
      <c r="N2" s="484"/>
      <c r="O2" s="484"/>
      <c r="P2" s="484"/>
      <c r="Q2" s="484"/>
      <c r="R2" s="484"/>
      <c r="S2" s="484"/>
      <c r="T2" s="485"/>
    </row>
    <row r="3" spans="1:23" ht="13.5" customHeight="1">
      <c r="A3" s="464" t="s">
        <v>130</v>
      </c>
      <c r="B3" s="465"/>
      <c r="C3" s="458" t="s">
        <v>131</v>
      </c>
      <c r="D3" s="459"/>
      <c r="E3" s="460"/>
      <c r="F3" s="480" t="s">
        <v>132</v>
      </c>
      <c r="G3" s="481"/>
      <c r="H3" s="481"/>
      <c r="I3" s="481"/>
      <c r="J3" s="481"/>
      <c r="K3" s="482"/>
      <c r="L3" s="459"/>
      <c r="M3" s="459"/>
      <c r="N3" s="459"/>
      <c r="O3" s="215"/>
      <c r="P3" s="215"/>
      <c r="Q3" s="215"/>
      <c r="R3" s="215"/>
      <c r="S3" s="215"/>
      <c r="T3" s="216"/>
    </row>
    <row r="4" spans="1:23" ht="13.5" customHeight="1">
      <c r="A4" s="464" t="s">
        <v>133</v>
      </c>
      <c r="B4" s="465"/>
      <c r="C4" s="494">
        <v>7</v>
      </c>
      <c r="D4" s="495"/>
      <c r="E4" s="363"/>
      <c r="F4" s="480" t="s">
        <v>134</v>
      </c>
      <c r="G4" s="481"/>
      <c r="H4" s="481"/>
      <c r="I4" s="481"/>
      <c r="J4" s="481"/>
      <c r="K4" s="482"/>
      <c r="L4" s="491">
        <f xml:space="preserve"> IF(Functions!E6&lt;&gt;"N/A",SUM(C4*Functions!E6/1000,- O7),"N/A")</f>
        <v>-14.37</v>
      </c>
      <c r="M4" s="492"/>
      <c r="N4" s="492"/>
      <c r="O4" s="492"/>
      <c r="P4" s="492"/>
      <c r="Q4" s="492"/>
      <c r="R4" s="492"/>
      <c r="S4" s="492"/>
      <c r="T4" s="493"/>
      <c r="V4" s="113"/>
    </row>
    <row r="5" spans="1:23" ht="25.5" customHeight="1">
      <c r="A5" s="464" t="s">
        <v>135</v>
      </c>
      <c r="B5" s="465"/>
      <c r="C5" s="466" t="s">
        <v>85</v>
      </c>
      <c r="D5" s="466"/>
      <c r="E5" s="466"/>
      <c r="F5" s="467"/>
      <c r="G5" s="467"/>
      <c r="H5" s="467"/>
      <c r="I5" s="467"/>
      <c r="J5" s="467"/>
      <c r="K5" s="467"/>
      <c r="L5" s="466"/>
      <c r="M5" s="466"/>
      <c r="N5" s="466"/>
      <c r="O5" s="466"/>
      <c r="P5" s="466"/>
      <c r="Q5" s="466"/>
      <c r="R5" s="466"/>
      <c r="S5" s="466"/>
      <c r="T5" s="466"/>
    </row>
    <row r="6" spans="1:23" ht="13.5" customHeight="1">
      <c r="A6" s="462" t="s">
        <v>115</v>
      </c>
      <c r="B6" s="463"/>
      <c r="C6" s="478" t="s">
        <v>116</v>
      </c>
      <c r="D6" s="468"/>
      <c r="E6" s="479"/>
      <c r="F6" s="478" t="s">
        <v>117</v>
      </c>
      <c r="G6" s="468"/>
      <c r="H6" s="468"/>
      <c r="I6" s="468"/>
      <c r="J6" s="468"/>
      <c r="K6" s="488"/>
      <c r="L6" s="468" t="s">
        <v>136</v>
      </c>
      <c r="M6" s="468"/>
      <c r="N6" s="468"/>
      <c r="O6" s="489" t="s">
        <v>120</v>
      </c>
      <c r="P6" s="468"/>
      <c r="Q6" s="468"/>
      <c r="R6" s="468"/>
      <c r="S6" s="468"/>
      <c r="T6" s="490"/>
      <c r="V6" s="113"/>
    </row>
    <row r="7" spans="1:23" ht="13.5" customHeight="1" thickBot="1">
      <c r="A7" s="477">
        <f>COUNTIF(F42:HQ42,"P")</f>
        <v>10</v>
      </c>
      <c r="B7" s="476"/>
      <c r="C7" s="472">
        <f>COUNTIF(F42:HQ42,"F")</f>
        <v>0</v>
      </c>
      <c r="D7" s="470"/>
      <c r="E7" s="476"/>
      <c r="F7" s="472">
        <f>SUM(O7,- A7,- C7)</f>
        <v>5</v>
      </c>
      <c r="G7" s="470"/>
      <c r="H7" s="470"/>
      <c r="I7" s="470"/>
      <c r="J7" s="470"/>
      <c r="K7" s="473"/>
      <c r="L7" s="217">
        <f>COUNTIF(E41:HQ41,"N")</f>
        <v>1</v>
      </c>
      <c r="M7" s="217">
        <f>COUNTIF(E41:HQ41,"A")</f>
        <v>6</v>
      </c>
      <c r="N7" s="217">
        <f>COUNTIF(E41:HQ41,"B")</f>
        <v>3</v>
      </c>
      <c r="O7" s="469">
        <f>COUNTA(E9:HT9)</f>
        <v>15</v>
      </c>
      <c r="P7" s="470"/>
      <c r="Q7" s="470"/>
      <c r="R7" s="470"/>
      <c r="S7" s="470"/>
      <c r="T7" s="471"/>
      <c r="U7" s="114"/>
    </row>
    <row r="8" spans="1:23" ht="11.25" thickBot="1"/>
    <row r="9" spans="1:23" ht="46.5" customHeight="1" thickTop="1" thickBot="1">
      <c r="A9" s="224"/>
      <c r="B9" s="225"/>
      <c r="C9" s="226"/>
      <c r="D9" s="227"/>
      <c r="E9" s="226"/>
      <c r="F9" s="228" t="s">
        <v>137</v>
      </c>
      <c r="G9" s="228" t="s">
        <v>138</v>
      </c>
      <c r="H9" s="228" t="s">
        <v>139</v>
      </c>
      <c r="I9" s="228" t="s">
        <v>140</v>
      </c>
      <c r="J9" s="228" t="s">
        <v>141</v>
      </c>
      <c r="K9" s="228" t="s">
        <v>142</v>
      </c>
      <c r="L9" s="228" t="s">
        <v>143</v>
      </c>
      <c r="M9" s="228" t="s">
        <v>144</v>
      </c>
      <c r="N9" s="228" t="s">
        <v>145</v>
      </c>
      <c r="O9" s="228" t="s">
        <v>146</v>
      </c>
      <c r="P9" s="228" t="s">
        <v>147</v>
      </c>
      <c r="Q9" s="228" t="s">
        <v>148</v>
      </c>
      <c r="R9" s="228" t="s">
        <v>149</v>
      </c>
      <c r="S9" s="228" t="s">
        <v>150</v>
      </c>
      <c r="T9" s="229" t="s">
        <v>151</v>
      </c>
      <c r="U9" s="116"/>
      <c r="V9" s="117"/>
      <c r="W9" s="118"/>
    </row>
    <row r="10" spans="1:23" ht="13.5" customHeight="1">
      <c r="A10" s="230" t="s">
        <v>152</v>
      </c>
      <c r="B10" s="119" t="s">
        <v>168</v>
      </c>
      <c r="C10" s="120"/>
      <c r="D10" s="121" t="s">
        <v>81</v>
      </c>
      <c r="E10" s="122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231"/>
    </row>
    <row r="11" spans="1:23" ht="13.5" customHeight="1">
      <c r="A11" s="232"/>
      <c r="B11" s="119"/>
      <c r="C11" s="120"/>
      <c r="D11" s="121"/>
      <c r="E11" s="124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231"/>
      <c r="V11" s="113"/>
    </row>
    <row r="12" spans="1:23" ht="13.5" customHeight="1">
      <c r="A12" s="232"/>
      <c r="B12" s="119"/>
      <c r="C12" s="120"/>
      <c r="D12" s="121"/>
      <c r="E12" s="124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231"/>
    </row>
    <row r="13" spans="1:23" ht="13.5" customHeight="1">
      <c r="A13" s="232"/>
      <c r="B13" s="119"/>
      <c r="C13" s="120"/>
      <c r="D13" s="121"/>
      <c r="E13" s="125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231"/>
    </row>
    <row r="14" spans="1:23" ht="13.5" customHeight="1">
      <c r="A14" s="232"/>
      <c r="B14" s="256" t="s">
        <v>169</v>
      </c>
      <c r="C14" s="120"/>
      <c r="D14" s="121"/>
      <c r="E14" s="126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231"/>
    </row>
    <row r="15" spans="1:23" ht="13.5" customHeight="1">
      <c r="A15" s="232"/>
      <c r="B15" s="119"/>
      <c r="C15" s="120"/>
      <c r="D15" s="121" t="s">
        <v>170</v>
      </c>
      <c r="E15" s="126"/>
      <c r="F15" s="296" t="s">
        <v>155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231"/>
      <c r="W15" s="113"/>
    </row>
    <row r="16" spans="1:23" ht="13.5" customHeight="1">
      <c r="A16" s="232"/>
      <c r="B16" s="119"/>
      <c r="C16" s="120"/>
      <c r="D16" s="121" t="s">
        <v>171</v>
      </c>
      <c r="E16" s="126"/>
      <c r="F16" s="123"/>
      <c r="G16" s="291" t="s">
        <v>155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231"/>
    </row>
    <row r="17" spans="1:21" ht="13.5" customHeight="1">
      <c r="A17" s="232"/>
      <c r="B17" s="119"/>
      <c r="C17" s="120"/>
      <c r="D17" s="121" t="s">
        <v>157</v>
      </c>
      <c r="E17" s="126"/>
      <c r="F17" s="123"/>
      <c r="H17" s="291" t="s">
        <v>155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231"/>
      <c r="U17" s="127"/>
    </row>
    <row r="18" spans="1:21" ht="13.5" customHeight="1">
      <c r="A18" s="232"/>
      <c r="B18" s="119"/>
      <c r="C18" s="120"/>
      <c r="D18" s="121" t="s">
        <v>172</v>
      </c>
      <c r="E18" s="126"/>
      <c r="F18" s="123"/>
      <c r="G18" s="123"/>
      <c r="H18" s="123"/>
      <c r="I18" s="123" t="s">
        <v>155</v>
      </c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231"/>
      <c r="U18" s="127"/>
    </row>
    <row r="19" spans="1:21" ht="13.5" customHeight="1">
      <c r="A19" s="232"/>
      <c r="B19" s="119"/>
      <c r="C19" s="120"/>
      <c r="D19" s="461" t="s">
        <v>173</v>
      </c>
      <c r="E19" s="461"/>
      <c r="F19" s="123"/>
      <c r="G19" s="123"/>
      <c r="H19" s="123"/>
      <c r="I19" s="123"/>
      <c r="J19" s="123" t="s">
        <v>155</v>
      </c>
      <c r="K19" s="123"/>
      <c r="L19" s="123"/>
      <c r="M19" s="123"/>
      <c r="N19" s="123"/>
      <c r="O19" s="123"/>
      <c r="P19" s="123"/>
      <c r="Q19" s="123"/>
      <c r="R19" s="123"/>
      <c r="S19" s="123"/>
      <c r="T19" s="231"/>
    </row>
    <row r="20" spans="1:21" ht="13.5" customHeight="1">
      <c r="A20" s="232"/>
      <c r="B20" s="119"/>
      <c r="C20" s="120"/>
      <c r="D20" s="121" t="s">
        <v>174</v>
      </c>
      <c r="E20" s="126"/>
      <c r="F20" s="123"/>
      <c r="G20" s="123"/>
      <c r="H20" s="123"/>
      <c r="I20" s="123"/>
      <c r="J20" s="123"/>
      <c r="K20" s="291" t="s">
        <v>155</v>
      </c>
      <c r="M20" s="123"/>
      <c r="N20" s="123"/>
      <c r="O20" s="123"/>
      <c r="P20" s="123"/>
      <c r="Q20" s="123"/>
      <c r="R20" s="123"/>
      <c r="S20" s="123"/>
      <c r="T20" s="231"/>
    </row>
    <row r="21" spans="1:21" ht="13.5" customHeight="1">
      <c r="A21" s="232"/>
      <c r="B21" s="119"/>
      <c r="C21" s="120"/>
      <c r="D21" s="121">
        <v>10.5</v>
      </c>
      <c r="E21" s="126"/>
      <c r="F21" s="123"/>
      <c r="G21" s="123"/>
      <c r="H21" s="123"/>
      <c r="I21" s="123"/>
      <c r="J21" s="123"/>
      <c r="K21" s="123"/>
      <c r="L21" s="123" t="s">
        <v>155</v>
      </c>
      <c r="M21" s="123"/>
      <c r="N21" s="123"/>
      <c r="O21" s="123"/>
      <c r="P21" s="123"/>
      <c r="Q21" s="123"/>
      <c r="R21" s="123"/>
      <c r="S21" s="123"/>
      <c r="T21" s="231"/>
    </row>
    <row r="22" spans="1:21" ht="13.5" customHeight="1">
      <c r="A22" s="232"/>
      <c r="B22" s="119"/>
      <c r="C22" s="120"/>
      <c r="D22" s="121">
        <v>0</v>
      </c>
      <c r="E22" s="126"/>
      <c r="F22" s="123"/>
      <c r="G22" s="123"/>
      <c r="H22" s="123"/>
      <c r="I22" s="123"/>
      <c r="J22" s="123"/>
      <c r="K22" s="123"/>
      <c r="L22" s="123"/>
      <c r="M22" s="123" t="s">
        <v>155</v>
      </c>
      <c r="N22" s="123"/>
      <c r="O22" s="123"/>
      <c r="P22" s="123"/>
      <c r="Q22" s="123"/>
      <c r="R22" s="123"/>
      <c r="S22" s="123"/>
      <c r="T22" s="231"/>
    </row>
    <row r="23" spans="1:21" ht="13.5" customHeight="1">
      <c r="A23" s="232"/>
      <c r="B23" s="119"/>
      <c r="C23" s="120"/>
      <c r="D23" s="121" t="s">
        <v>175</v>
      </c>
      <c r="E23" s="126"/>
      <c r="F23" s="123"/>
      <c r="G23" s="123"/>
      <c r="H23" s="123"/>
      <c r="I23" s="123"/>
      <c r="J23" s="123"/>
      <c r="K23" s="123"/>
      <c r="L23" s="123"/>
      <c r="M23" s="123"/>
      <c r="N23" s="123" t="s">
        <v>155</v>
      </c>
      <c r="O23" s="123"/>
      <c r="P23" s="123"/>
      <c r="Q23" s="123"/>
      <c r="R23" s="123"/>
      <c r="S23" s="123"/>
      <c r="T23" s="231"/>
    </row>
    <row r="24" spans="1:21" ht="13.5" customHeight="1">
      <c r="A24" s="232"/>
      <c r="B24" s="119"/>
      <c r="C24" s="120"/>
      <c r="D24" s="121" t="s">
        <v>176</v>
      </c>
      <c r="E24" s="126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231"/>
    </row>
    <row r="25" spans="1:21" ht="13.5" customHeight="1">
      <c r="A25" s="232"/>
      <c r="B25" s="119"/>
      <c r="C25" s="120"/>
      <c r="D25" s="121"/>
      <c r="E25" s="126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231"/>
    </row>
    <row r="26" spans="1:21" ht="13.5" customHeight="1">
      <c r="A26" s="232"/>
      <c r="B26" s="119"/>
      <c r="C26" s="120"/>
      <c r="D26" s="121"/>
      <c r="E26" s="126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231"/>
    </row>
    <row r="27" spans="1:21" ht="13.5" customHeight="1">
      <c r="A27" s="232"/>
      <c r="B27" s="119"/>
      <c r="C27" s="120"/>
      <c r="D27" s="121"/>
      <c r="E27" s="126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231"/>
    </row>
    <row r="28" spans="1:21" ht="13.5" customHeight="1">
      <c r="A28" s="232"/>
      <c r="B28" s="119"/>
      <c r="C28" s="120"/>
      <c r="D28" s="121"/>
      <c r="E28" s="126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231"/>
    </row>
    <row r="29" spans="1:21" ht="13.5" customHeight="1">
      <c r="A29" s="232"/>
      <c r="B29" s="119"/>
      <c r="C29" s="120"/>
      <c r="D29" s="121"/>
      <c r="E29" s="126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231"/>
    </row>
    <row r="30" spans="1:21" ht="13.5" customHeight="1" thickBot="1">
      <c r="A30" s="232"/>
      <c r="B30" s="128"/>
      <c r="C30" s="129"/>
      <c r="D30" s="130"/>
      <c r="E30" s="131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233"/>
    </row>
    <row r="31" spans="1:21" ht="13.5" customHeight="1">
      <c r="A31" s="234" t="s">
        <v>158</v>
      </c>
      <c r="B31" s="133" t="s">
        <v>177</v>
      </c>
      <c r="C31" s="134"/>
      <c r="D31" s="135">
        <v>-1</v>
      </c>
      <c r="E31" s="136"/>
      <c r="F31" s="288" t="s">
        <v>155</v>
      </c>
      <c r="G31" s="137"/>
      <c r="H31" s="288" t="s">
        <v>155</v>
      </c>
      <c r="I31" s="137"/>
      <c r="J31" s="137"/>
      <c r="K31" s="288" t="s">
        <v>155</v>
      </c>
      <c r="L31" s="137" t="s">
        <v>155</v>
      </c>
      <c r="M31" s="137"/>
      <c r="N31" s="137" t="s">
        <v>155</v>
      </c>
      <c r="O31" s="137"/>
      <c r="P31" s="137"/>
      <c r="Q31" s="137"/>
      <c r="R31" s="137"/>
      <c r="S31" s="137"/>
      <c r="T31" s="235"/>
    </row>
    <row r="32" spans="1:21" ht="13.5" customHeight="1">
      <c r="A32" s="236"/>
      <c r="B32" s="138"/>
      <c r="C32" s="139"/>
      <c r="D32" s="140">
        <v>0</v>
      </c>
      <c r="E32" s="141"/>
      <c r="F32" s="123"/>
      <c r="G32" s="123" t="s">
        <v>155</v>
      </c>
      <c r="H32" s="291"/>
      <c r="I32" s="123"/>
      <c r="J32" s="123"/>
      <c r="K32" s="123" t="s">
        <v>155</v>
      </c>
      <c r="L32" s="123"/>
      <c r="M32" s="123" t="s">
        <v>155</v>
      </c>
      <c r="N32" s="123"/>
      <c r="O32" s="123"/>
      <c r="P32" s="123"/>
      <c r="Q32" s="123"/>
      <c r="R32" s="123"/>
      <c r="S32" s="123"/>
      <c r="T32" s="231"/>
    </row>
    <row r="33" spans="1:20" ht="13.5" customHeight="1">
      <c r="A33" s="236"/>
      <c r="B33" s="138"/>
      <c r="C33" s="142"/>
      <c r="D33" s="112">
        <v>5</v>
      </c>
      <c r="E33" s="143"/>
      <c r="F33" s="123"/>
      <c r="G33" s="123"/>
      <c r="H33" s="123"/>
      <c r="I33" s="123" t="s">
        <v>155</v>
      </c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231"/>
    </row>
    <row r="34" spans="1:20" ht="13.5" customHeight="1">
      <c r="A34" s="236"/>
      <c r="B34" s="138"/>
      <c r="C34" s="142"/>
      <c r="D34" s="112">
        <v>10</v>
      </c>
      <c r="E34" s="143"/>
      <c r="F34" s="123"/>
      <c r="G34" s="123"/>
      <c r="H34" s="123"/>
      <c r="I34" s="123"/>
      <c r="J34" s="123" t="s">
        <v>155</v>
      </c>
      <c r="K34" s="123"/>
      <c r="L34" s="123"/>
      <c r="M34" s="123"/>
      <c r="N34" s="123"/>
      <c r="O34" s="123"/>
      <c r="P34" s="123"/>
      <c r="Q34" s="123"/>
      <c r="R34" s="123"/>
      <c r="S34" s="123"/>
      <c r="T34" s="231"/>
    </row>
    <row r="35" spans="1:20" ht="13.5" customHeight="1">
      <c r="A35" s="236"/>
      <c r="B35" s="138"/>
      <c r="C35" s="142"/>
      <c r="D35" s="112">
        <v>5</v>
      </c>
      <c r="E35" s="143"/>
      <c r="F35" s="123"/>
      <c r="G35" s="123"/>
      <c r="H35" s="123"/>
      <c r="I35" s="123"/>
      <c r="J35" s="123"/>
      <c r="K35" s="123"/>
      <c r="L35" s="123"/>
      <c r="M35" s="123"/>
      <c r="N35" s="123"/>
      <c r="O35" s="123" t="s">
        <v>155</v>
      </c>
      <c r="P35" s="123"/>
      <c r="Q35" s="123"/>
      <c r="R35" s="123"/>
      <c r="S35" s="123"/>
      <c r="T35" s="231"/>
    </row>
    <row r="36" spans="1:20" ht="13.5" customHeight="1">
      <c r="A36" s="236"/>
      <c r="B36" s="138" t="s">
        <v>178</v>
      </c>
      <c r="C36" s="142"/>
      <c r="D36" s="140"/>
      <c r="E36" s="14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231"/>
    </row>
    <row r="37" spans="1:20" ht="13.5" customHeight="1">
      <c r="A37" s="236"/>
      <c r="B37" s="138"/>
      <c r="C37" s="142"/>
      <c r="D37" s="140"/>
      <c r="E37" s="14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231"/>
    </row>
    <row r="38" spans="1:20" ht="13.5" customHeight="1">
      <c r="A38" s="236"/>
      <c r="B38" s="138" t="s">
        <v>179</v>
      </c>
      <c r="C38" s="142"/>
      <c r="D38" s="140"/>
      <c r="E38" s="14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231"/>
    </row>
    <row r="39" spans="1:20" ht="13.5" customHeight="1">
      <c r="A39" s="236"/>
      <c r="B39" s="138"/>
      <c r="C39" s="142"/>
      <c r="D39" s="140"/>
      <c r="E39" s="14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231"/>
    </row>
    <row r="40" spans="1:20" ht="13.5" customHeight="1" thickBot="1">
      <c r="A40" s="236"/>
      <c r="B40" s="218"/>
      <c r="C40" s="219"/>
      <c r="D40" s="220"/>
      <c r="E40" s="221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37"/>
    </row>
    <row r="41" spans="1:20" ht="13.5" customHeight="1" thickTop="1">
      <c r="A41" s="234" t="s">
        <v>162</v>
      </c>
      <c r="B41" s="457" t="s">
        <v>163</v>
      </c>
      <c r="C41" s="457"/>
      <c r="D41" s="457"/>
      <c r="E41" s="362"/>
      <c r="F41" s="223" t="s">
        <v>62</v>
      </c>
      <c r="G41" s="223" t="s">
        <v>62</v>
      </c>
      <c r="H41" s="223" t="s">
        <v>62</v>
      </c>
      <c r="I41" s="223" t="s">
        <v>119</v>
      </c>
      <c r="J41" s="223" t="s">
        <v>119</v>
      </c>
      <c r="K41" s="223" t="s">
        <v>62</v>
      </c>
      <c r="L41" s="223" t="s">
        <v>62</v>
      </c>
      <c r="M41" s="223" t="s">
        <v>119</v>
      </c>
      <c r="N41" s="223" t="s">
        <v>62</v>
      </c>
      <c r="O41" s="223" t="s">
        <v>118</v>
      </c>
      <c r="P41" s="223"/>
      <c r="Q41" s="223"/>
      <c r="R41" s="223"/>
      <c r="S41" s="223"/>
      <c r="T41" s="238"/>
    </row>
    <row r="42" spans="1:20" ht="13.5" customHeight="1">
      <c r="A42" s="239"/>
      <c r="B42" s="474" t="s">
        <v>164</v>
      </c>
      <c r="C42" s="474"/>
      <c r="D42" s="474"/>
      <c r="E42" s="145"/>
      <c r="F42" s="144" t="s">
        <v>165</v>
      </c>
      <c r="G42" s="144" t="s">
        <v>165</v>
      </c>
      <c r="H42" s="144" t="s">
        <v>165</v>
      </c>
      <c r="I42" s="144" t="s">
        <v>165</v>
      </c>
      <c r="J42" s="144" t="s">
        <v>165</v>
      </c>
      <c r="K42" s="144" t="s">
        <v>165</v>
      </c>
      <c r="L42" s="144" t="s">
        <v>165</v>
      </c>
      <c r="M42" s="144" t="s">
        <v>165</v>
      </c>
      <c r="N42" s="144" t="s">
        <v>165</v>
      </c>
      <c r="O42" s="111" t="s">
        <v>165</v>
      </c>
      <c r="P42" s="144"/>
      <c r="Q42" s="144"/>
      <c r="R42" s="144"/>
      <c r="S42" s="144"/>
      <c r="T42" s="240"/>
    </row>
    <row r="43" spans="1:20" ht="43.5" customHeight="1">
      <c r="A43" s="239"/>
      <c r="B43" s="475" t="s">
        <v>166</v>
      </c>
      <c r="C43" s="475"/>
      <c r="D43" s="475"/>
      <c r="E43" s="146"/>
      <c r="F43" s="147">
        <v>46103</v>
      </c>
      <c r="G43" s="147">
        <v>46103</v>
      </c>
      <c r="H43" s="147">
        <v>46103</v>
      </c>
      <c r="I43" s="147">
        <v>46103</v>
      </c>
      <c r="J43" s="147">
        <v>46103</v>
      </c>
      <c r="K43" s="147">
        <v>46103</v>
      </c>
      <c r="L43" s="147">
        <v>46103</v>
      </c>
      <c r="M43" s="147">
        <v>46103</v>
      </c>
      <c r="N43" s="147">
        <v>46103</v>
      </c>
      <c r="O43" s="147">
        <v>46103</v>
      </c>
      <c r="Q43" s="147"/>
      <c r="R43" s="147"/>
      <c r="S43" s="147"/>
      <c r="T43" s="241"/>
    </row>
    <row r="44" spans="1:20" ht="11.25">
      <c r="A44" s="242"/>
      <c r="B44" s="456" t="s">
        <v>167</v>
      </c>
      <c r="C44" s="456"/>
      <c r="D44" s="456"/>
      <c r="E44" s="243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144"/>
      <c r="Q44" s="244"/>
      <c r="R44" s="244"/>
      <c r="S44" s="244"/>
      <c r="T44" s="245"/>
    </row>
    <row r="45" spans="1:20" ht="10.5">
      <c r="A45" s="115"/>
      <c r="B45" s="111"/>
      <c r="C45" s="112"/>
      <c r="D45" s="111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42:D42"/>
    <mergeCell ref="B43:D43"/>
    <mergeCell ref="C7:E7"/>
    <mergeCell ref="A7:B7"/>
    <mergeCell ref="C6:E6"/>
    <mergeCell ref="F3:K3"/>
    <mergeCell ref="A3:B3"/>
    <mergeCell ref="A4:B4"/>
    <mergeCell ref="B44:D44"/>
    <mergeCell ref="B41:D41"/>
    <mergeCell ref="C3:E3"/>
    <mergeCell ref="D19:E19"/>
    <mergeCell ref="A6:B6"/>
    <mergeCell ref="A5:B5"/>
    <mergeCell ref="C5:T5"/>
    <mergeCell ref="L6:N6"/>
    <mergeCell ref="O7:T7"/>
    <mergeCell ref="F7:K7"/>
  </mergeCells>
  <phoneticPr fontId="34" type="noConversion"/>
  <dataValidations disablePrompts="1" count="3">
    <dataValidation type="list" allowBlank="1" showInputMessage="1" showErrorMessage="1" sqref="F41:T41" xr:uid="{477338BC-7537-4508-8B04-7452C6ADF5BC}">
      <formula1>"N,A,B, "</formula1>
    </dataValidation>
    <dataValidation type="list" allowBlank="1" showInputMessage="1" showErrorMessage="1" sqref="F42:N42 P42:T42 P44" xr:uid="{E838DC9D-EC35-4839-857F-5793E1F773F2}">
      <formula1>"P,F, "</formula1>
    </dataValidation>
    <dataValidation type="list" allowBlank="1" showInputMessage="1" showErrorMessage="1" sqref="H17:T17 F17 F10:T16 F18:T19 F20:K20 M20:T20 F21:T40" xr:uid="{D647C601-9452-4173-B238-9B9F3C4FED1D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7ACB-3BDB-47E0-9B22-8113208BE865}">
  <dimension ref="A1:W45"/>
  <sheetViews>
    <sheetView workbookViewId="0">
      <pane ySplit="9" topLeftCell="A29" activePane="bottomLeft" state="frozen"/>
      <selection pane="bottomLeft" activeCell="O43" sqref="O43"/>
    </sheetView>
  </sheetViews>
  <sheetFormatPr defaultColWidth="9" defaultRowHeight="13.5" customHeight="1"/>
  <cols>
    <col min="1" max="1" width="6.85546875" style="111" customWidth="1"/>
    <col min="2" max="2" width="17" style="115" customWidth="1"/>
    <col min="3" max="3" width="10.85546875" style="111" customWidth="1"/>
    <col min="4" max="4" width="11.28515625" style="112" customWidth="1"/>
    <col min="5" max="5" width="1.85546875" style="111" hidden="1" customWidth="1"/>
    <col min="6" max="7" width="4.140625" style="111" bestFit="1" customWidth="1"/>
    <col min="8" max="8" width="2.85546875" style="111" customWidth="1"/>
    <col min="9" max="10" width="4.140625" style="111" bestFit="1" customWidth="1"/>
    <col min="11" max="19" width="2.85546875" style="111" customWidth="1"/>
    <col min="20" max="20" width="2.85546875" style="111" bestFit="1" customWidth="1"/>
    <col min="21" max="21" width="2.85546875" style="111" customWidth="1"/>
    <col min="22" max="16384" width="9" style="111"/>
  </cols>
  <sheetData>
    <row r="1" spans="1:23" ht="13.5" customHeight="1">
      <c r="A1" s="118"/>
      <c r="B1" s="177"/>
    </row>
    <row r="2" spans="1:23" ht="13.5" customHeight="1">
      <c r="A2" s="425" t="s">
        <v>129</v>
      </c>
      <c r="B2" s="426"/>
      <c r="C2" s="483" t="s">
        <v>87</v>
      </c>
      <c r="D2" s="496"/>
      <c r="F2" s="497" t="s">
        <v>72</v>
      </c>
      <c r="G2" s="498"/>
      <c r="H2" s="498"/>
      <c r="I2" s="498"/>
      <c r="J2" s="498"/>
      <c r="K2" s="499"/>
      <c r="L2" s="483" t="s">
        <v>87</v>
      </c>
      <c r="M2" s="484"/>
      <c r="N2" s="484"/>
      <c r="O2" s="484"/>
      <c r="P2" s="484"/>
      <c r="Q2" s="484"/>
      <c r="R2" s="484"/>
      <c r="S2" s="484"/>
      <c r="T2" s="485"/>
    </row>
    <row r="3" spans="1:23" ht="13.5" customHeight="1">
      <c r="A3" s="464" t="s">
        <v>130</v>
      </c>
      <c r="B3" s="465"/>
      <c r="C3" s="458" t="s">
        <v>131</v>
      </c>
      <c r="D3" s="459"/>
      <c r="E3" s="460"/>
      <c r="F3" s="500" t="s">
        <v>132</v>
      </c>
      <c r="G3" s="501"/>
      <c r="H3" s="501"/>
      <c r="I3" s="501"/>
      <c r="J3" s="501"/>
      <c r="K3" s="502"/>
      <c r="L3" s="503" t="s">
        <v>131</v>
      </c>
      <c r="M3" s="504"/>
      <c r="N3" s="504"/>
      <c r="O3" s="215"/>
      <c r="P3" s="215"/>
      <c r="Q3" s="215"/>
      <c r="R3" s="215"/>
      <c r="S3" s="215"/>
      <c r="T3" s="216"/>
    </row>
    <row r="4" spans="1:23" ht="13.5" customHeight="1">
      <c r="A4" s="464" t="s">
        <v>133</v>
      </c>
      <c r="B4" s="465"/>
      <c r="C4" s="494">
        <v>6</v>
      </c>
      <c r="D4" s="495"/>
      <c r="E4" s="363"/>
      <c r="F4" s="480" t="s">
        <v>134</v>
      </c>
      <c r="G4" s="481"/>
      <c r="H4" s="481"/>
      <c r="I4" s="481"/>
      <c r="J4" s="481"/>
      <c r="K4" s="482"/>
      <c r="L4" s="491">
        <f xml:space="preserve"> IF(Functions!E6&lt;&gt;"N/A",SUM(C4*Functions!E6/1000,- O7),"N/A")</f>
        <v>-14.46</v>
      </c>
      <c r="M4" s="492"/>
      <c r="N4" s="492"/>
      <c r="O4" s="492"/>
      <c r="P4" s="492"/>
      <c r="Q4" s="492"/>
      <c r="R4" s="492"/>
      <c r="S4" s="492"/>
      <c r="T4" s="493"/>
      <c r="V4" s="113"/>
    </row>
    <row r="5" spans="1:23" ht="24.75" customHeight="1">
      <c r="A5" s="464" t="s">
        <v>135</v>
      </c>
      <c r="B5" s="465"/>
      <c r="C5" s="458" t="s">
        <v>180</v>
      </c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505"/>
    </row>
    <row r="6" spans="1:23" ht="13.5" customHeight="1">
      <c r="A6" s="462" t="s">
        <v>115</v>
      </c>
      <c r="B6" s="463"/>
      <c r="C6" s="478" t="s">
        <v>116</v>
      </c>
      <c r="D6" s="468"/>
      <c r="E6" s="479"/>
      <c r="F6" s="478" t="s">
        <v>117</v>
      </c>
      <c r="G6" s="468"/>
      <c r="H6" s="468"/>
      <c r="I6" s="468"/>
      <c r="J6" s="468"/>
      <c r="K6" s="488"/>
      <c r="L6" s="489" t="s">
        <v>136</v>
      </c>
      <c r="M6" s="468"/>
      <c r="N6" s="488"/>
      <c r="O6" s="489" t="s">
        <v>120</v>
      </c>
      <c r="P6" s="468"/>
      <c r="Q6" s="468"/>
      <c r="R6" s="468"/>
      <c r="S6" s="468"/>
      <c r="T6" s="490"/>
      <c r="V6" s="113"/>
    </row>
    <row r="7" spans="1:23" ht="13.5" customHeight="1">
      <c r="A7" s="477">
        <f>COUNTIF(F42:K42,"P")</f>
        <v>6</v>
      </c>
      <c r="B7" s="476"/>
      <c r="C7" s="472">
        <f>COUNTIF(F42:HQ42,"F")</f>
        <v>0</v>
      </c>
      <c r="D7" s="470"/>
      <c r="E7" s="476"/>
      <c r="F7" s="472">
        <f>SUM(O7,- A7,- C7)</f>
        <v>9</v>
      </c>
      <c r="G7" s="470"/>
      <c r="H7" s="470"/>
      <c r="I7" s="470"/>
      <c r="J7" s="470"/>
      <c r="K7" s="473"/>
      <c r="L7" s="217">
        <f>COUNTIF(E41:HQ41,"N")</f>
        <v>3</v>
      </c>
      <c r="M7" s="217">
        <f>COUNTIF(E41:HQ41,"A")</f>
        <v>5</v>
      </c>
      <c r="N7" s="217">
        <f>COUNTIF(E41:HQ41,"B")</f>
        <v>2</v>
      </c>
      <c r="O7" s="469">
        <f>COUNTA(E9:HT9)</f>
        <v>15</v>
      </c>
      <c r="P7" s="470"/>
      <c r="Q7" s="470"/>
      <c r="R7" s="470"/>
      <c r="S7" s="470"/>
      <c r="T7" s="471"/>
      <c r="U7" s="114"/>
    </row>
    <row r="8" spans="1:23" ht="10.5"/>
    <row r="9" spans="1:23" ht="46.5" customHeight="1">
      <c r="A9" s="224"/>
      <c r="B9" s="225"/>
      <c r="C9" s="226"/>
      <c r="D9" s="227"/>
      <c r="E9" s="226"/>
      <c r="F9" s="228" t="s">
        <v>137</v>
      </c>
      <c r="G9" s="228" t="s">
        <v>138</v>
      </c>
      <c r="H9" s="228" t="s">
        <v>139</v>
      </c>
      <c r="I9" s="228" t="s">
        <v>140</v>
      </c>
      <c r="J9" s="228" t="s">
        <v>141</v>
      </c>
      <c r="K9" s="228" t="s">
        <v>142</v>
      </c>
      <c r="L9" s="228" t="s">
        <v>143</v>
      </c>
      <c r="M9" s="228" t="s">
        <v>144</v>
      </c>
      <c r="N9" s="228" t="s">
        <v>145</v>
      </c>
      <c r="O9" s="228" t="s">
        <v>146</v>
      </c>
      <c r="P9" s="228" t="s">
        <v>147</v>
      </c>
      <c r="Q9" s="228" t="s">
        <v>148</v>
      </c>
      <c r="R9" s="228" t="s">
        <v>149</v>
      </c>
      <c r="S9" s="228" t="s">
        <v>150</v>
      </c>
      <c r="T9" s="229" t="s">
        <v>151</v>
      </c>
      <c r="U9" s="116"/>
      <c r="V9" s="117"/>
      <c r="W9" s="118"/>
    </row>
    <row r="10" spans="1:23" ht="13.5" customHeight="1">
      <c r="A10" s="230" t="s">
        <v>152</v>
      </c>
      <c r="B10" s="119" t="s">
        <v>168</v>
      </c>
      <c r="C10" s="120"/>
      <c r="D10" s="121" t="s">
        <v>81</v>
      </c>
      <c r="E10" s="122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231"/>
    </row>
    <row r="11" spans="1:23" ht="13.5" customHeight="1">
      <c r="A11" s="232"/>
      <c r="B11" s="119"/>
      <c r="C11" s="120"/>
      <c r="D11" s="305"/>
      <c r="E11" s="124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231"/>
      <c r="V11" s="113"/>
    </row>
    <row r="12" spans="1:23" ht="13.5" customHeight="1">
      <c r="A12" s="232"/>
      <c r="B12" s="119"/>
      <c r="C12" s="120"/>
      <c r="D12" s="121"/>
      <c r="E12" s="124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231"/>
    </row>
    <row r="13" spans="1:23" ht="13.5" customHeight="1">
      <c r="A13" s="232"/>
      <c r="B13" s="119"/>
      <c r="C13" s="120"/>
      <c r="D13" s="121"/>
      <c r="E13" s="125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231"/>
    </row>
    <row r="14" spans="1:23" ht="13.5" customHeight="1">
      <c r="A14" s="232"/>
      <c r="B14" s="119" t="s">
        <v>181</v>
      </c>
      <c r="C14" s="120"/>
      <c r="D14" s="121"/>
      <c r="E14" s="126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231"/>
    </row>
    <row r="15" spans="1:23" ht="13.5" customHeight="1">
      <c r="A15" s="232"/>
      <c r="B15" s="119"/>
      <c r="C15" s="120"/>
      <c r="D15" s="121" t="s">
        <v>182</v>
      </c>
      <c r="E15" s="126"/>
      <c r="F15" s="123" t="s">
        <v>155</v>
      </c>
      <c r="G15" s="123"/>
      <c r="H15" s="123" t="s">
        <v>155</v>
      </c>
      <c r="I15" s="123"/>
      <c r="J15" s="123" t="s">
        <v>155</v>
      </c>
      <c r="K15" s="123"/>
      <c r="L15" s="123" t="s">
        <v>155</v>
      </c>
      <c r="M15" s="123" t="s">
        <v>155</v>
      </c>
      <c r="N15" s="123" t="s">
        <v>155</v>
      </c>
      <c r="O15" s="123" t="s">
        <v>155</v>
      </c>
      <c r="P15" s="123"/>
      <c r="Q15" s="123"/>
      <c r="R15" s="123"/>
      <c r="S15" s="123"/>
      <c r="T15" s="231"/>
      <c r="W15" s="113"/>
    </row>
    <row r="16" spans="1:23" ht="13.5" customHeight="1">
      <c r="A16" s="232"/>
      <c r="B16" s="119"/>
      <c r="C16" s="120"/>
      <c r="D16" s="121" t="s">
        <v>157</v>
      </c>
      <c r="E16" s="126"/>
      <c r="F16" s="123"/>
      <c r="G16" s="123" t="s">
        <v>155</v>
      </c>
      <c r="H16" s="123"/>
      <c r="I16" s="123" t="s">
        <v>155</v>
      </c>
      <c r="J16" s="123"/>
      <c r="K16" s="123" t="s">
        <v>155</v>
      </c>
      <c r="L16" s="123"/>
      <c r="M16" s="123"/>
      <c r="N16" s="123"/>
      <c r="O16" s="123"/>
      <c r="P16" s="123"/>
      <c r="Q16" s="123"/>
      <c r="R16" s="123"/>
      <c r="S16" s="123"/>
      <c r="T16" s="231"/>
    </row>
    <row r="17" spans="1:21" ht="13.5" customHeight="1">
      <c r="A17" s="232"/>
      <c r="B17" s="119"/>
      <c r="C17" s="120"/>
      <c r="D17" s="121"/>
      <c r="E17" s="126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231"/>
      <c r="U17" s="127"/>
    </row>
    <row r="18" spans="1:21" ht="13.5" customHeight="1">
      <c r="A18" s="232"/>
      <c r="B18" s="256" t="s">
        <v>183</v>
      </c>
      <c r="C18" s="120"/>
      <c r="D18" s="121"/>
      <c r="E18" s="126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231"/>
      <c r="U18" s="127"/>
    </row>
    <row r="19" spans="1:21" ht="13.5" customHeight="1">
      <c r="A19" s="232"/>
      <c r="B19" s="119"/>
      <c r="C19" s="120"/>
      <c r="D19" s="461">
        <v>12000.5</v>
      </c>
      <c r="E19" s="461"/>
      <c r="F19" s="123" t="s">
        <v>155</v>
      </c>
      <c r="G19" s="123" t="s">
        <v>155</v>
      </c>
      <c r="H19" s="123"/>
      <c r="I19" s="123" t="s">
        <v>155</v>
      </c>
      <c r="J19" s="123"/>
      <c r="K19" s="123" t="s">
        <v>155</v>
      </c>
      <c r="L19" s="123" t="s">
        <v>155</v>
      </c>
      <c r="M19" s="123"/>
      <c r="N19" s="123" t="s">
        <v>155</v>
      </c>
      <c r="O19" s="123"/>
      <c r="P19" s="123"/>
      <c r="Q19" s="123"/>
      <c r="R19" s="123"/>
      <c r="S19" s="123"/>
      <c r="T19" s="231"/>
    </row>
    <row r="20" spans="1:21" ht="13.5" customHeight="1">
      <c r="A20" s="232"/>
      <c r="B20" s="119"/>
      <c r="C20" s="120"/>
      <c r="D20" s="121">
        <v>0</v>
      </c>
      <c r="E20" s="126"/>
      <c r="F20" s="123"/>
      <c r="G20" s="123"/>
      <c r="H20" s="123" t="s">
        <v>155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231"/>
    </row>
    <row r="21" spans="1:21" ht="13.5" customHeight="1">
      <c r="A21" s="232"/>
      <c r="B21" s="119"/>
      <c r="C21" s="120"/>
      <c r="D21" s="121">
        <v>-1</v>
      </c>
      <c r="E21" s="126"/>
      <c r="F21" s="123"/>
      <c r="G21" s="123"/>
      <c r="H21" s="123"/>
      <c r="I21" s="123"/>
      <c r="J21" s="291" t="s">
        <v>155</v>
      </c>
      <c r="K21" s="123"/>
      <c r="L21" s="123"/>
      <c r="M21" s="123"/>
      <c r="N21" s="123"/>
      <c r="O21" s="123"/>
      <c r="P21" s="123"/>
      <c r="Q21" s="123"/>
      <c r="R21" s="123"/>
      <c r="S21" s="123"/>
      <c r="T21" s="231"/>
    </row>
    <row r="22" spans="1:21" ht="13.5" customHeight="1">
      <c r="A22" s="232"/>
      <c r="B22" s="119"/>
      <c r="C22" s="120"/>
      <c r="D22" s="121" t="s">
        <v>174</v>
      </c>
      <c r="E22" s="126"/>
      <c r="F22" s="123"/>
      <c r="G22" s="123"/>
      <c r="H22" s="123"/>
      <c r="I22" s="123"/>
      <c r="J22" s="123"/>
      <c r="K22" s="123"/>
      <c r="L22" s="123"/>
      <c r="M22" s="123" t="s">
        <v>155</v>
      </c>
      <c r="N22" s="123"/>
      <c r="O22" s="123"/>
      <c r="P22" s="123"/>
      <c r="Q22" s="123"/>
      <c r="R22" s="123"/>
      <c r="S22" s="123"/>
      <c r="T22" s="231"/>
    </row>
    <row r="23" spans="1:21" ht="13.5" customHeight="1">
      <c r="A23" s="232"/>
      <c r="B23" s="119"/>
      <c r="C23" s="120"/>
      <c r="D23" s="121" t="s">
        <v>157</v>
      </c>
      <c r="E23" s="126"/>
      <c r="F23" s="123"/>
      <c r="G23" s="123"/>
      <c r="H23" s="123"/>
      <c r="I23" s="123"/>
      <c r="J23" s="123"/>
      <c r="K23" s="123"/>
      <c r="L23" s="123"/>
      <c r="M23" s="123"/>
      <c r="N23" s="123"/>
      <c r="O23" s="123" t="s">
        <v>155</v>
      </c>
      <c r="P23" s="123"/>
      <c r="Q23" s="123"/>
      <c r="R23" s="123"/>
      <c r="S23" s="123"/>
      <c r="T23" s="231"/>
    </row>
    <row r="24" spans="1:21" ht="13.5" customHeight="1">
      <c r="A24" s="232"/>
      <c r="B24" s="119"/>
      <c r="C24" s="120"/>
      <c r="D24" s="121"/>
      <c r="E24" s="126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231"/>
    </row>
    <row r="25" spans="1:21" ht="13.5" customHeight="1">
      <c r="A25" s="232"/>
      <c r="B25" s="119" t="s">
        <v>184</v>
      </c>
      <c r="C25" s="120"/>
      <c r="D25" s="121"/>
      <c r="E25" s="126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231"/>
    </row>
    <row r="26" spans="1:21" ht="13.5" customHeight="1">
      <c r="A26" s="232"/>
      <c r="B26" s="119"/>
      <c r="C26" s="120"/>
      <c r="D26" s="121">
        <v>15000</v>
      </c>
      <c r="E26" s="126"/>
      <c r="F26" s="123" t="s">
        <v>155</v>
      </c>
      <c r="G26" s="123" t="s">
        <v>155</v>
      </c>
      <c r="H26" s="123" t="s">
        <v>155</v>
      </c>
      <c r="I26" s="123"/>
      <c r="J26" s="123" t="s">
        <v>155</v>
      </c>
      <c r="K26" s="123"/>
      <c r="L26" s="123"/>
      <c r="M26" s="123" t="s">
        <v>155</v>
      </c>
      <c r="N26" s="123"/>
      <c r="O26" s="123" t="s">
        <v>155</v>
      </c>
      <c r="P26" s="123"/>
      <c r="Q26" s="123"/>
      <c r="R26" s="123"/>
      <c r="S26" s="123"/>
      <c r="T26" s="231"/>
    </row>
    <row r="27" spans="1:21" ht="13.5" customHeight="1">
      <c r="A27" s="232"/>
      <c r="B27" s="119"/>
      <c r="C27" s="120"/>
      <c r="D27" s="121">
        <v>0</v>
      </c>
      <c r="E27" s="126"/>
      <c r="F27" s="123"/>
      <c r="G27" s="123"/>
      <c r="H27" s="123"/>
      <c r="I27" s="123" t="s">
        <v>155</v>
      </c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231"/>
    </row>
    <row r="28" spans="1:21" ht="13.5" customHeight="1">
      <c r="A28" s="232"/>
      <c r="B28" s="119"/>
      <c r="C28" s="120"/>
      <c r="D28" s="121">
        <v>-1</v>
      </c>
      <c r="E28" s="126"/>
      <c r="F28" s="123"/>
      <c r="G28" s="123"/>
      <c r="H28" s="123"/>
      <c r="I28" s="123"/>
      <c r="J28" s="123"/>
      <c r="K28" s="291" t="s">
        <v>155</v>
      </c>
      <c r="L28" s="123"/>
      <c r="M28" s="123"/>
      <c r="N28" s="123"/>
      <c r="O28" s="123"/>
      <c r="P28" s="123"/>
      <c r="Q28" s="123"/>
      <c r="R28" s="123"/>
      <c r="S28" s="123"/>
      <c r="T28" s="231"/>
    </row>
    <row r="29" spans="1:21" ht="13.5" customHeight="1">
      <c r="A29" s="232"/>
      <c r="B29" s="119"/>
      <c r="C29" s="120"/>
      <c r="D29" s="121">
        <v>12000.5</v>
      </c>
      <c r="E29" s="126"/>
      <c r="F29" s="123"/>
      <c r="G29" s="123"/>
      <c r="H29" s="123"/>
      <c r="I29" s="123"/>
      <c r="J29" s="123"/>
      <c r="K29" s="123"/>
      <c r="L29" s="123" t="s">
        <v>155</v>
      </c>
      <c r="M29" s="123"/>
      <c r="N29" s="123"/>
      <c r="O29" s="123"/>
      <c r="P29" s="123"/>
      <c r="Q29" s="123"/>
      <c r="R29" s="123"/>
      <c r="S29" s="123"/>
      <c r="T29" s="231"/>
    </row>
    <row r="30" spans="1:21" ht="13.5" customHeight="1">
      <c r="A30" s="232"/>
      <c r="B30" s="119"/>
      <c r="C30" s="120"/>
      <c r="D30" s="121" t="s">
        <v>185</v>
      </c>
      <c r="E30" s="126"/>
      <c r="F30" s="123"/>
      <c r="G30" s="123"/>
      <c r="H30" s="123"/>
      <c r="I30" s="123"/>
      <c r="J30" s="123"/>
      <c r="K30" s="123"/>
      <c r="L30" s="123"/>
      <c r="M30" s="123"/>
      <c r="N30" s="123" t="s">
        <v>155</v>
      </c>
      <c r="O30" s="123"/>
      <c r="P30" s="123"/>
      <c r="Q30" s="123"/>
      <c r="R30" s="123"/>
      <c r="S30" s="123"/>
      <c r="T30" s="231"/>
    </row>
    <row r="31" spans="1:21" ht="13.5" customHeight="1">
      <c r="A31" s="232"/>
      <c r="B31" s="119"/>
      <c r="C31" s="120"/>
      <c r="D31" s="121"/>
      <c r="E31" s="126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231"/>
    </row>
    <row r="32" spans="1:21" ht="13.5" customHeight="1">
      <c r="A32" s="232"/>
      <c r="B32" s="128"/>
      <c r="C32" s="129"/>
      <c r="D32" s="130"/>
      <c r="E32" s="131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233"/>
    </row>
    <row r="33" spans="1:20" ht="13.5" customHeight="1">
      <c r="A33" s="234" t="s">
        <v>158</v>
      </c>
      <c r="B33" s="133" t="s">
        <v>177</v>
      </c>
      <c r="C33" s="134"/>
      <c r="D33" s="135">
        <v>-1</v>
      </c>
      <c r="E33" s="136"/>
      <c r="F33" s="137"/>
      <c r="G33" s="137"/>
      <c r="H33" s="137"/>
      <c r="I33" s="137"/>
      <c r="J33" s="288" t="s">
        <v>155</v>
      </c>
      <c r="K33" s="288" t="s">
        <v>155</v>
      </c>
      <c r="L33" s="137"/>
      <c r="M33" s="137" t="s">
        <v>155</v>
      </c>
      <c r="N33" s="137"/>
      <c r="O33" s="137"/>
      <c r="P33" s="137"/>
      <c r="Q33" s="137"/>
      <c r="R33" s="137"/>
      <c r="S33" s="137"/>
      <c r="T33" s="235"/>
    </row>
    <row r="34" spans="1:20" ht="13.5" customHeight="1">
      <c r="A34" s="236"/>
      <c r="B34" s="138"/>
      <c r="C34" s="139"/>
      <c r="D34" s="140">
        <v>12000.5</v>
      </c>
      <c r="E34" s="141"/>
      <c r="F34" s="123" t="s">
        <v>155</v>
      </c>
      <c r="G34" s="123"/>
      <c r="H34" s="123"/>
      <c r="I34" s="123"/>
      <c r="J34" s="123"/>
      <c r="K34" s="123"/>
      <c r="L34" s="123" t="s">
        <v>155</v>
      </c>
      <c r="M34" s="123"/>
      <c r="N34" s="123"/>
      <c r="O34" s="123"/>
      <c r="P34" s="123"/>
      <c r="Q34" s="123"/>
      <c r="R34" s="123"/>
      <c r="S34" s="123"/>
      <c r="T34" s="231"/>
    </row>
    <row r="35" spans="1:20" ht="13.5" customHeight="1">
      <c r="A35" s="236"/>
      <c r="B35" s="138"/>
      <c r="C35" s="142"/>
      <c r="D35" s="140">
        <v>15000</v>
      </c>
      <c r="E35" s="143"/>
      <c r="F35" s="123"/>
      <c r="G35" s="123" t="s">
        <v>155</v>
      </c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231"/>
    </row>
    <row r="36" spans="1:20" ht="13.5" customHeight="1">
      <c r="A36" s="236"/>
      <c r="B36" s="138" t="s">
        <v>178</v>
      </c>
      <c r="C36" s="142"/>
      <c r="D36" s="140">
        <v>0</v>
      </c>
      <c r="E36" s="143"/>
      <c r="F36" s="123"/>
      <c r="G36" s="123"/>
      <c r="H36" s="123" t="s">
        <v>155</v>
      </c>
      <c r="I36" s="123" t="s">
        <v>155</v>
      </c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231"/>
    </row>
    <row r="37" spans="1:20" ht="13.5" customHeight="1">
      <c r="A37" s="236"/>
      <c r="B37" s="138"/>
      <c r="C37" s="142"/>
      <c r="D37" s="140"/>
      <c r="E37" s="14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231"/>
    </row>
    <row r="38" spans="1:20" ht="13.5" customHeight="1">
      <c r="A38" s="236"/>
      <c r="B38" s="138" t="s">
        <v>179</v>
      </c>
      <c r="C38" s="142"/>
      <c r="D38" s="140"/>
      <c r="E38" s="14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231"/>
    </row>
    <row r="39" spans="1:20" ht="13.5" customHeight="1">
      <c r="A39" s="236"/>
      <c r="B39" s="138"/>
      <c r="C39" s="142"/>
      <c r="D39" s="140"/>
      <c r="E39" s="14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231"/>
    </row>
    <row r="40" spans="1:20" ht="13.5" customHeight="1">
      <c r="A40" s="236"/>
      <c r="B40" s="218"/>
      <c r="C40" s="219"/>
      <c r="D40" s="220"/>
      <c r="E40" s="221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37"/>
    </row>
    <row r="41" spans="1:20" ht="13.5" customHeight="1">
      <c r="A41" s="234" t="s">
        <v>162</v>
      </c>
      <c r="B41" s="457" t="s">
        <v>163</v>
      </c>
      <c r="C41" s="457"/>
      <c r="D41" s="457"/>
      <c r="E41" s="362"/>
      <c r="F41" s="223" t="s">
        <v>118</v>
      </c>
      <c r="G41" s="223" t="s">
        <v>118</v>
      </c>
      <c r="H41" s="223" t="s">
        <v>119</v>
      </c>
      <c r="I41" s="223" t="s">
        <v>119</v>
      </c>
      <c r="J41" s="223" t="s">
        <v>62</v>
      </c>
      <c r="K41" s="223" t="s">
        <v>62</v>
      </c>
      <c r="L41" s="223" t="s">
        <v>118</v>
      </c>
      <c r="M41" s="223" t="s">
        <v>62</v>
      </c>
      <c r="N41" s="223" t="s">
        <v>62</v>
      </c>
      <c r="O41" s="223" t="s">
        <v>62</v>
      </c>
      <c r="P41" s="223"/>
      <c r="Q41" s="223"/>
      <c r="R41" s="223"/>
      <c r="S41" s="223"/>
      <c r="T41" s="238"/>
    </row>
    <row r="42" spans="1:20" ht="13.5" customHeight="1">
      <c r="A42" s="239"/>
      <c r="B42" s="474" t="s">
        <v>164</v>
      </c>
      <c r="C42" s="474"/>
      <c r="D42" s="474"/>
      <c r="E42" s="145"/>
      <c r="F42" s="144" t="s">
        <v>165</v>
      </c>
      <c r="G42" s="144" t="s">
        <v>165</v>
      </c>
      <c r="H42" s="144" t="s">
        <v>165</v>
      </c>
      <c r="I42" s="144" t="s">
        <v>165</v>
      </c>
      <c r="J42" s="144" t="s">
        <v>165</v>
      </c>
      <c r="K42" s="144" t="s">
        <v>165</v>
      </c>
      <c r="L42" s="144" t="s">
        <v>165</v>
      </c>
      <c r="M42" s="144" t="s">
        <v>165</v>
      </c>
      <c r="N42" s="144" t="s">
        <v>165</v>
      </c>
      <c r="O42" s="144" t="s">
        <v>165</v>
      </c>
      <c r="P42" s="144"/>
      <c r="Q42" s="144"/>
      <c r="R42" s="144"/>
      <c r="S42" s="144"/>
      <c r="T42" s="240"/>
    </row>
    <row r="43" spans="1:20" ht="42.75" customHeight="1">
      <c r="A43" s="239"/>
      <c r="B43" s="475" t="s">
        <v>166</v>
      </c>
      <c r="C43" s="475"/>
      <c r="D43" s="475"/>
      <c r="E43" s="146"/>
      <c r="F43" s="147">
        <v>46103</v>
      </c>
      <c r="G43" s="147">
        <v>46103</v>
      </c>
      <c r="H43" s="147">
        <v>46103</v>
      </c>
      <c r="I43" s="147">
        <v>46103</v>
      </c>
      <c r="J43" s="147">
        <v>46103</v>
      </c>
      <c r="K43" s="147">
        <v>46103</v>
      </c>
      <c r="L43" s="147">
        <v>46103</v>
      </c>
      <c r="M43" s="147">
        <v>46103</v>
      </c>
      <c r="N43" s="147">
        <v>46103</v>
      </c>
      <c r="O43" s="147">
        <v>46103</v>
      </c>
      <c r="P43" s="147"/>
      <c r="Q43" s="147"/>
      <c r="R43" s="147"/>
      <c r="S43" s="147"/>
      <c r="T43" s="241"/>
    </row>
    <row r="44" spans="1:20" ht="10.5">
      <c r="A44" s="242"/>
      <c r="B44" s="456" t="s">
        <v>167</v>
      </c>
      <c r="C44" s="456"/>
      <c r="D44" s="456"/>
      <c r="E44" s="243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5"/>
    </row>
    <row r="45" spans="1:20" ht="10.5">
      <c r="A45" s="115"/>
      <c r="B45" s="111"/>
      <c r="C45" s="112"/>
      <c r="D45" s="111"/>
    </row>
  </sheetData>
  <mergeCells count="28">
    <mergeCell ref="D19:E19"/>
    <mergeCell ref="B41:D41"/>
    <mergeCell ref="B42:D42"/>
    <mergeCell ref="B43:D43"/>
    <mergeCell ref="B44:D44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D2"/>
    <mergeCell ref="F2:K2"/>
    <mergeCell ref="L2:T2"/>
    <mergeCell ref="A3:B3"/>
    <mergeCell ref="C3:E3"/>
    <mergeCell ref="F3:K3"/>
    <mergeCell ref="L3:N3"/>
  </mergeCells>
  <phoneticPr fontId="34" type="noConversion"/>
  <dataValidations count="3">
    <dataValidation type="list" allowBlank="1" showInputMessage="1" showErrorMessage="1" sqref="F41:T41" xr:uid="{08054D02-4C8C-41DB-9458-529EAAE2A74E}">
      <formula1>"N,A,B, "</formula1>
    </dataValidation>
    <dataValidation type="list" allowBlank="1" showInputMessage="1" showErrorMessage="1" sqref="F42:T42" xr:uid="{6E355023-E90A-4CF2-8B11-33646EAA03B1}">
      <formula1>"P,F, "</formula1>
    </dataValidation>
    <dataValidation type="list" allowBlank="1" showInputMessage="1" showErrorMessage="1" sqref="F10:T40" xr:uid="{C3FA2E32-1E69-4B82-8B71-4D2F6370A4D5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E887-AD2F-4647-A9D4-2A7274E252F6}">
  <dimension ref="A1:V59"/>
  <sheetViews>
    <sheetView topLeftCell="A32" workbookViewId="0">
      <selection activeCell="O57" sqref="O57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76" customWidth="1"/>
    <col min="5" max="5" width="0.5703125" style="75" hidden="1" customWidth="1"/>
    <col min="6" max="6" width="5.7109375" style="75" customWidth="1"/>
    <col min="7" max="7" width="6.42578125" style="75" customWidth="1"/>
    <col min="8" max="8" width="4.42578125" style="75" customWidth="1"/>
    <col min="9" max="9" width="7.5703125" style="75" customWidth="1"/>
    <col min="10" max="10" width="9.85546875" style="75" customWidth="1"/>
    <col min="11" max="11" width="7.140625" style="75" customWidth="1"/>
    <col min="12" max="12" width="5.140625" style="75" customWidth="1"/>
    <col min="13" max="19" width="2.85546875" style="75" customWidth="1"/>
    <col min="20" max="20" width="2.85546875" style="75" bestFit="1" customWidth="1"/>
    <col min="21" max="21" width="2.85546875" style="75" customWidth="1"/>
    <col min="22" max="16384" width="9" style="75"/>
  </cols>
  <sheetData>
    <row r="1" spans="1:22" ht="13.5" customHeight="1">
      <c r="A1" s="73"/>
      <c r="B1" s="74"/>
      <c r="D1" s="364"/>
    </row>
    <row r="2" spans="1:22" ht="13.5" customHeight="1">
      <c r="A2" s="508" t="s">
        <v>129</v>
      </c>
      <c r="B2" s="509"/>
      <c r="C2" s="510" t="s">
        <v>91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91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2" ht="13.5" customHeight="1">
      <c r="A3" s="418" t="s">
        <v>130</v>
      </c>
      <c r="B3" s="419"/>
      <c r="C3" s="413" t="s">
        <v>131</v>
      </c>
      <c r="D3" s="414"/>
      <c r="E3" s="415"/>
      <c r="F3" s="449" t="s">
        <v>132</v>
      </c>
      <c r="G3" s="450"/>
      <c r="H3" s="450"/>
      <c r="I3" s="450"/>
      <c r="J3" s="450"/>
      <c r="K3" s="451"/>
      <c r="L3" s="414" t="s">
        <v>131</v>
      </c>
      <c r="M3" s="414"/>
      <c r="N3" s="414"/>
      <c r="O3" s="171"/>
      <c r="P3" s="171"/>
      <c r="Q3" s="171"/>
      <c r="R3" s="171"/>
      <c r="S3" s="171"/>
      <c r="T3" s="172"/>
    </row>
    <row r="4" spans="1:22" ht="13.5" customHeight="1">
      <c r="A4" s="418" t="s">
        <v>133</v>
      </c>
      <c r="B4" s="419"/>
      <c r="C4" s="420">
        <v>8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-14.28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2" ht="13.5" customHeight="1">
      <c r="A5" s="418" t="s">
        <v>135</v>
      </c>
      <c r="B5" s="419"/>
      <c r="C5" s="454" t="s">
        <v>92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2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2" ht="13.5" customHeight="1">
      <c r="A7" s="407">
        <f>COUNTIF(F56:HQ57,"P")</f>
        <v>10</v>
      </c>
      <c r="B7" s="408"/>
      <c r="C7" s="452">
        <f>COUNTIF(F57:HQ57,"F")</f>
        <v>0</v>
      </c>
      <c r="D7" s="428"/>
      <c r="E7" s="408"/>
      <c r="F7" s="452">
        <f>SUM(O7,- A7,- C7)</f>
        <v>5</v>
      </c>
      <c r="G7" s="428"/>
      <c r="H7" s="428"/>
      <c r="I7" s="428"/>
      <c r="J7" s="428"/>
      <c r="K7" s="453"/>
      <c r="L7" s="360">
        <f>COUNTIF(E55:HQ56,"N")</f>
        <v>4</v>
      </c>
      <c r="M7" s="360">
        <f>COUNTIF(E55:HQ56,"A")</f>
        <v>3</v>
      </c>
      <c r="N7" s="360">
        <f>COUNTIF(E55:HQ56,"B")</f>
        <v>3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2" ht="10.5">
      <c r="D8" s="364"/>
    </row>
    <row r="9" spans="1:22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262"/>
      <c r="V9" s="77"/>
    </row>
    <row r="10" spans="1:22" ht="13.5" customHeight="1">
      <c r="A10" s="200" t="s">
        <v>152</v>
      </c>
      <c r="B10" s="83" t="s">
        <v>153</v>
      </c>
      <c r="C10" s="84"/>
      <c r="D10" s="255" t="s">
        <v>81</v>
      </c>
      <c r="E10" s="85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4"/>
    </row>
    <row r="11" spans="1:22" ht="13.5" customHeight="1">
      <c r="A11" s="191"/>
      <c r="B11" s="83"/>
      <c r="C11" s="84"/>
      <c r="D11" s="255"/>
      <c r="E11" s="254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4"/>
      <c r="V11" s="77"/>
    </row>
    <row r="12" spans="1:22" ht="13.5" customHeight="1">
      <c r="A12" s="191"/>
      <c r="B12" s="83" t="s">
        <v>186</v>
      </c>
      <c r="C12" s="84"/>
      <c r="D12" s="255"/>
      <c r="E12" s="254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4"/>
    </row>
    <row r="13" spans="1:22" ht="13.5" customHeight="1">
      <c r="A13" s="191"/>
      <c r="B13" s="83"/>
      <c r="C13" s="84"/>
      <c r="D13" s="255" t="s">
        <v>157</v>
      </c>
      <c r="E13" s="253"/>
      <c r="F13" s="263" t="s">
        <v>155</v>
      </c>
      <c r="G13" s="263"/>
      <c r="H13" s="263"/>
      <c r="I13" s="263"/>
      <c r="J13" s="263"/>
      <c r="K13" s="263"/>
      <c r="L13" s="263" t="s">
        <v>155</v>
      </c>
      <c r="M13" s="263"/>
      <c r="N13" s="263"/>
      <c r="O13" s="263"/>
      <c r="P13" s="263"/>
      <c r="Q13" s="263"/>
      <c r="R13" s="263"/>
      <c r="S13" s="263"/>
      <c r="T13" s="264"/>
    </row>
    <row r="14" spans="1:22" ht="13.5" customHeight="1">
      <c r="A14" s="191"/>
      <c r="B14" s="83"/>
      <c r="C14" s="84"/>
      <c r="D14" s="255">
        <v>-2</v>
      </c>
      <c r="E14" s="253"/>
      <c r="F14" s="263"/>
      <c r="G14" s="263"/>
      <c r="H14" s="263"/>
      <c r="I14" s="263"/>
      <c r="J14" s="263"/>
      <c r="K14" s="289" t="s">
        <v>155</v>
      </c>
      <c r="L14" s="263"/>
      <c r="M14" s="263"/>
      <c r="N14" s="263"/>
      <c r="O14" s="263"/>
      <c r="P14" s="263"/>
      <c r="Q14" s="263"/>
      <c r="R14" s="263"/>
      <c r="S14" s="263"/>
      <c r="T14" s="264"/>
    </row>
    <row r="15" spans="1:22" ht="13.5" customHeight="1">
      <c r="A15" s="191"/>
      <c r="B15" s="251"/>
      <c r="C15" s="84"/>
      <c r="D15" s="255">
        <v>2</v>
      </c>
      <c r="E15" s="252"/>
      <c r="F15" s="263"/>
      <c r="G15" s="263" t="s">
        <v>155</v>
      </c>
      <c r="H15" s="263"/>
      <c r="I15" s="263"/>
      <c r="J15" s="263"/>
      <c r="K15" s="263"/>
      <c r="L15" s="263"/>
      <c r="M15" s="263"/>
      <c r="N15" s="263" t="s">
        <v>155</v>
      </c>
      <c r="O15" s="263"/>
      <c r="P15" s="263"/>
      <c r="Q15" s="263"/>
      <c r="R15" s="263"/>
      <c r="S15" s="263"/>
      <c r="T15" s="264"/>
    </row>
    <row r="16" spans="1:22" ht="13.5" customHeight="1">
      <c r="A16" s="191"/>
      <c r="B16" s="251"/>
      <c r="C16" s="84"/>
      <c r="D16" s="255" t="s">
        <v>187</v>
      </c>
      <c r="E16" s="252"/>
      <c r="F16" s="263"/>
      <c r="G16" s="263"/>
      <c r="H16" s="263" t="s">
        <v>155</v>
      </c>
      <c r="I16" s="263"/>
      <c r="J16" s="263"/>
      <c r="K16" s="263"/>
      <c r="L16" s="263"/>
      <c r="M16" s="263"/>
      <c r="N16" s="263"/>
      <c r="O16" s="263" t="s">
        <v>155</v>
      </c>
      <c r="P16" s="263"/>
      <c r="Q16" s="263"/>
      <c r="R16" s="263"/>
      <c r="S16" s="263"/>
      <c r="T16" s="264"/>
    </row>
    <row r="17" spans="1:21" ht="13.5" customHeight="1">
      <c r="A17" s="191"/>
      <c r="B17" s="251"/>
      <c r="C17" s="84"/>
      <c r="D17" s="255">
        <v>0</v>
      </c>
      <c r="E17" s="252"/>
      <c r="F17" s="263"/>
      <c r="G17" s="263"/>
      <c r="H17" s="263"/>
      <c r="I17" s="263" t="s">
        <v>155</v>
      </c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4"/>
    </row>
    <row r="18" spans="1:21" ht="13.5" customHeight="1">
      <c r="A18" s="191"/>
      <c r="B18" s="251"/>
      <c r="C18" s="84"/>
      <c r="D18" s="255">
        <v>5</v>
      </c>
      <c r="E18" s="252"/>
      <c r="F18" s="263"/>
      <c r="G18" s="263"/>
      <c r="H18" s="263"/>
      <c r="I18" s="263"/>
      <c r="J18" s="263" t="s">
        <v>155</v>
      </c>
      <c r="K18" s="263"/>
      <c r="L18" s="263"/>
      <c r="M18" s="263"/>
      <c r="N18" s="263"/>
      <c r="O18" s="263"/>
      <c r="P18" s="263"/>
      <c r="Q18" s="263"/>
      <c r="R18" s="263"/>
      <c r="S18" s="263"/>
      <c r="T18" s="264"/>
    </row>
    <row r="19" spans="1:21" ht="13.5" customHeight="1">
      <c r="A19" s="191"/>
      <c r="B19" s="251"/>
      <c r="C19" s="84"/>
      <c r="D19" s="255">
        <v>10</v>
      </c>
      <c r="E19" s="252"/>
      <c r="F19" s="263"/>
      <c r="G19" s="263"/>
      <c r="H19" s="263"/>
      <c r="I19" s="263"/>
      <c r="J19" s="263"/>
      <c r="K19" s="263"/>
      <c r="L19" s="263"/>
      <c r="M19" s="263" t="s">
        <v>155</v>
      </c>
      <c r="N19" s="263"/>
      <c r="O19" s="263"/>
      <c r="P19" s="263"/>
      <c r="Q19" s="263"/>
      <c r="R19" s="263"/>
      <c r="S19" s="263"/>
      <c r="T19" s="264"/>
    </row>
    <row r="20" spans="1:21" ht="13.5" customHeight="1">
      <c r="A20" s="191"/>
      <c r="B20" s="251"/>
      <c r="C20" s="84"/>
      <c r="D20" s="255"/>
      <c r="E20" s="252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4"/>
    </row>
    <row r="21" spans="1:21" ht="13.5" customHeight="1">
      <c r="A21" s="191"/>
      <c r="B21" s="83" t="s">
        <v>188</v>
      </c>
      <c r="C21" s="84"/>
      <c r="D21" s="255"/>
      <c r="E21" s="252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4"/>
    </row>
    <row r="22" spans="1:21" ht="13.5" customHeight="1">
      <c r="A22" s="191"/>
      <c r="B22" s="83"/>
      <c r="C22" s="84"/>
      <c r="D22" s="255" t="s">
        <v>157</v>
      </c>
      <c r="E22" s="252"/>
      <c r="F22" s="263" t="s">
        <v>155</v>
      </c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4"/>
    </row>
    <row r="23" spans="1:21" ht="13.5" customHeight="1">
      <c r="A23" s="191"/>
      <c r="B23" s="83"/>
      <c r="C23" s="84"/>
      <c r="D23" s="255">
        <v>0</v>
      </c>
      <c r="E23" s="252"/>
      <c r="F23" s="263"/>
      <c r="G23" s="263"/>
      <c r="H23" s="263"/>
      <c r="I23" s="263"/>
      <c r="J23" s="263" t="s">
        <v>155</v>
      </c>
      <c r="K23" s="263"/>
      <c r="L23" s="263"/>
      <c r="M23" s="263"/>
      <c r="N23" s="263"/>
      <c r="O23" s="263"/>
      <c r="P23" s="263"/>
      <c r="Q23" s="263"/>
      <c r="R23" s="263"/>
      <c r="S23" s="263"/>
      <c r="T23" s="264"/>
    </row>
    <row r="24" spans="1:21" ht="13.5" customHeight="1">
      <c r="A24" s="191"/>
      <c r="B24" s="83"/>
      <c r="C24" s="84"/>
      <c r="D24" s="255">
        <v>10</v>
      </c>
      <c r="E24" s="252"/>
      <c r="F24" s="263"/>
      <c r="G24" s="263" t="s">
        <v>155</v>
      </c>
      <c r="H24" s="263"/>
      <c r="I24" s="263" t="s">
        <v>155</v>
      </c>
      <c r="J24" s="263"/>
      <c r="K24" s="263" t="s">
        <v>155</v>
      </c>
      <c r="L24" s="263" t="s">
        <v>155</v>
      </c>
      <c r="M24" s="263"/>
      <c r="N24" s="263"/>
      <c r="O24" s="263"/>
      <c r="P24" s="263"/>
      <c r="Q24" s="263"/>
      <c r="R24" s="263"/>
      <c r="S24" s="263"/>
      <c r="T24" s="264"/>
    </row>
    <row r="25" spans="1:21" ht="14.25" customHeight="1">
      <c r="A25" s="191"/>
      <c r="B25" s="83"/>
      <c r="C25" s="84"/>
      <c r="D25" s="255">
        <v>10.5</v>
      </c>
      <c r="E25" s="252"/>
      <c r="F25" s="263"/>
      <c r="G25" s="263"/>
      <c r="H25" s="263" t="s">
        <v>155</v>
      </c>
      <c r="I25" s="263"/>
      <c r="J25" s="263"/>
      <c r="K25" s="263"/>
      <c r="L25" s="263"/>
      <c r="M25" s="263"/>
      <c r="N25" s="263"/>
      <c r="O25" s="263" t="s">
        <v>155</v>
      </c>
      <c r="P25" s="263"/>
      <c r="Q25" s="263"/>
      <c r="R25" s="263"/>
      <c r="S25" s="263"/>
      <c r="T25" s="264"/>
    </row>
    <row r="26" spans="1:21" ht="13.5" customHeight="1">
      <c r="A26" s="191"/>
      <c r="B26" s="83"/>
      <c r="C26" s="84"/>
      <c r="D26" s="255">
        <v>-1</v>
      </c>
      <c r="E26" s="252"/>
      <c r="F26" s="263"/>
      <c r="G26" s="263"/>
      <c r="H26" s="263"/>
      <c r="I26" s="263"/>
      <c r="J26" s="263"/>
      <c r="K26" s="263"/>
      <c r="L26" s="263"/>
      <c r="M26" s="263" t="s">
        <v>155</v>
      </c>
      <c r="N26" s="263"/>
      <c r="O26" s="263"/>
      <c r="P26" s="263"/>
      <c r="Q26" s="263"/>
      <c r="R26" s="263"/>
      <c r="S26" s="263"/>
      <c r="T26" s="264"/>
      <c r="U26" s="265"/>
    </row>
    <row r="27" spans="1:21" ht="13.5" customHeight="1">
      <c r="A27" s="191"/>
      <c r="B27" s="83"/>
      <c r="C27" s="84"/>
      <c r="D27" s="255">
        <v>20</v>
      </c>
      <c r="E27" s="252"/>
      <c r="F27" s="263"/>
      <c r="G27" s="263"/>
      <c r="H27" s="263"/>
      <c r="I27" s="263"/>
      <c r="J27" s="263"/>
      <c r="K27" s="263"/>
      <c r="L27" s="263"/>
      <c r="M27" s="263"/>
      <c r="N27" s="263" t="s">
        <v>155</v>
      </c>
      <c r="O27" s="263"/>
      <c r="P27" s="263"/>
      <c r="Q27" s="263"/>
      <c r="R27" s="263"/>
      <c r="S27" s="263"/>
      <c r="T27" s="264"/>
      <c r="U27" s="265"/>
    </row>
    <row r="28" spans="1:21" ht="13.5" customHeight="1">
      <c r="A28" s="191"/>
      <c r="B28" s="83"/>
      <c r="C28" s="84"/>
      <c r="D28" s="255"/>
      <c r="E28" s="252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4"/>
      <c r="U28" s="265"/>
    </row>
    <row r="29" spans="1:21" ht="13.5" customHeight="1">
      <c r="A29" s="191"/>
      <c r="B29" s="83"/>
      <c r="C29" s="84"/>
      <c r="D29" s="506"/>
      <c r="E29" s="506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4"/>
    </row>
    <row r="30" spans="1:21" ht="13.5" customHeight="1">
      <c r="A30" s="191"/>
      <c r="B30" s="83"/>
      <c r="C30" s="84"/>
      <c r="D30" s="255"/>
      <c r="E30" s="252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4"/>
    </row>
    <row r="31" spans="1:21" ht="13.5" customHeight="1">
      <c r="A31" s="191"/>
      <c r="B31" s="83"/>
      <c r="C31" s="84"/>
      <c r="D31" s="255"/>
      <c r="E31" s="252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4"/>
    </row>
    <row r="32" spans="1:21" ht="13.5" customHeight="1">
      <c r="A32" s="191"/>
      <c r="B32" s="251"/>
      <c r="C32" s="84"/>
      <c r="D32" s="255"/>
      <c r="E32" s="252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4"/>
    </row>
    <row r="33" spans="1:20" ht="13.5" customHeight="1">
      <c r="A33" s="191"/>
      <c r="B33" s="83"/>
      <c r="C33" s="84"/>
      <c r="D33" s="257"/>
      <c r="E33" s="252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4"/>
    </row>
    <row r="34" spans="1:20" ht="13.5" customHeight="1">
      <c r="A34" s="191"/>
      <c r="B34" s="83"/>
      <c r="C34" s="84"/>
      <c r="D34" s="255"/>
      <c r="E34" s="252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4"/>
    </row>
    <row r="35" spans="1:20" ht="13.5" customHeight="1">
      <c r="A35" s="191"/>
      <c r="B35" s="83"/>
      <c r="C35" s="84"/>
      <c r="D35" s="255"/>
      <c r="E35" s="252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4"/>
    </row>
    <row r="36" spans="1:20" ht="13.5" customHeight="1">
      <c r="A36" s="191"/>
      <c r="B36" s="83"/>
      <c r="C36" s="84"/>
      <c r="D36" s="257"/>
      <c r="E36" s="252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4"/>
    </row>
    <row r="37" spans="1:20" ht="13.5" customHeight="1">
      <c r="A37" s="191"/>
      <c r="B37" s="83"/>
      <c r="C37" s="84"/>
      <c r="D37" s="255"/>
      <c r="E37" s="252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4"/>
    </row>
    <row r="38" spans="1:20" ht="13.5" customHeight="1">
      <c r="A38" s="191"/>
      <c r="B38" s="251"/>
      <c r="C38" s="84"/>
      <c r="D38" s="255"/>
      <c r="E38" s="252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4"/>
    </row>
    <row r="39" spans="1:20" ht="13.5" customHeight="1">
      <c r="A39" s="191"/>
      <c r="B39" s="83"/>
      <c r="C39" s="84"/>
      <c r="D39" s="255"/>
      <c r="E39" s="252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4"/>
    </row>
    <row r="40" spans="1:20" ht="13.5" customHeight="1">
      <c r="A40" s="191"/>
      <c r="B40" s="83"/>
      <c r="C40" s="84"/>
      <c r="D40" s="255"/>
      <c r="E40" s="252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4"/>
    </row>
    <row r="41" spans="1:20" ht="13.5" customHeight="1">
      <c r="A41" s="191"/>
      <c r="B41" s="91"/>
      <c r="C41" s="92"/>
      <c r="D41" s="93"/>
      <c r="E41" s="94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7"/>
    </row>
    <row r="42" spans="1:20" ht="13.5" customHeight="1">
      <c r="A42" s="199" t="s">
        <v>158</v>
      </c>
      <c r="B42" s="268" t="s">
        <v>159</v>
      </c>
      <c r="C42" s="269"/>
      <c r="D42" s="98"/>
      <c r="E42" s="99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1"/>
    </row>
    <row r="43" spans="1:20" ht="16.5" customHeight="1">
      <c r="A43" s="198"/>
      <c r="B43" s="148"/>
      <c r="C43" s="272"/>
      <c r="D43" s="301">
        <v>0</v>
      </c>
      <c r="E43" s="104"/>
      <c r="F43" s="263" t="s">
        <v>155</v>
      </c>
      <c r="G43" s="263"/>
      <c r="H43" s="263"/>
      <c r="I43" s="263" t="s">
        <v>155</v>
      </c>
      <c r="J43" s="263" t="s">
        <v>155</v>
      </c>
      <c r="K43" s="263"/>
      <c r="L43" s="263"/>
      <c r="M43" s="263"/>
      <c r="N43" s="263"/>
      <c r="O43" s="263"/>
      <c r="P43" s="263"/>
      <c r="Q43" s="263"/>
      <c r="R43" s="263"/>
      <c r="S43" s="263"/>
      <c r="T43" s="264"/>
    </row>
    <row r="44" spans="1:20" ht="16.5" customHeight="1">
      <c r="A44" s="198"/>
      <c r="B44" s="148"/>
      <c r="C44" s="272"/>
      <c r="D44" s="303">
        <v>-20</v>
      </c>
      <c r="E44" s="300"/>
      <c r="F44" s="263"/>
      <c r="G44" s="263"/>
      <c r="H44" s="263"/>
      <c r="I44" s="263"/>
      <c r="J44" s="263"/>
      <c r="K44" s="263" t="s">
        <v>155</v>
      </c>
      <c r="L44" s="263"/>
      <c r="M44" s="263"/>
      <c r="N44" s="263"/>
      <c r="O44" s="263"/>
      <c r="P44" s="263"/>
      <c r="Q44" s="263"/>
      <c r="R44" s="263"/>
      <c r="S44" s="263"/>
      <c r="T44" s="264"/>
    </row>
    <row r="45" spans="1:20" ht="15" customHeight="1">
      <c r="A45" s="198"/>
      <c r="B45" s="148"/>
      <c r="C45" s="272"/>
      <c r="D45" s="302">
        <v>20</v>
      </c>
      <c r="E45" s="300"/>
      <c r="F45" s="263"/>
      <c r="G45" s="263" t="s">
        <v>155</v>
      </c>
      <c r="H45" s="263"/>
      <c r="I45" s="263"/>
      <c r="J45" s="263"/>
      <c r="K45" s="263"/>
      <c r="L45" s="263"/>
      <c r="M45" s="263"/>
      <c r="N45" s="263" t="s">
        <v>155</v>
      </c>
      <c r="O45" s="263"/>
      <c r="P45" s="263"/>
      <c r="Q45" s="263"/>
      <c r="R45" s="263"/>
      <c r="S45" s="263"/>
      <c r="T45" s="264"/>
    </row>
    <row r="46" spans="1:20" ht="13.5" customHeight="1">
      <c r="A46" s="198"/>
      <c r="B46" s="148"/>
      <c r="C46" s="272"/>
      <c r="D46" s="304">
        <v>35</v>
      </c>
      <c r="E46" s="104"/>
      <c r="F46" s="263"/>
      <c r="G46" s="263"/>
      <c r="H46" s="263" t="s">
        <v>155</v>
      </c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4"/>
    </row>
    <row r="47" spans="1:20" ht="13.5" customHeight="1">
      <c r="A47" s="198"/>
      <c r="B47" s="148"/>
      <c r="C47" s="272"/>
      <c r="D47">
        <v>23</v>
      </c>
      <c r="E47" s="104"/>
      <c r="F47" s="263"/>
      <c r="G47" s="263"/>
      <c r="H47" s="263"/>
      <c r="I47" s="263"/>
      <c r="J47" s="263"/>
      <c r="K47" s="263"/>
      <c r="L47" s="263"/>
      <c r="M47" s="263"/>
      <c r="N47" s="263"/>
      <c r="O47" s="263" t="s">
        <v>155</v>
      </c>
      <c r="P47" s="263"/>
      <c r="Q47" s="263"/>
      <c r="R47" s="263"/>
      <c r="S47" s="263"/>
      <c r="T47" s="264"/>
    </row>
    <row r="48" spans="1:20" ht="13.5" customHeight="1">
      <c r="A48" s="198"/>
      <c r="B48" s="148"/>
      <c r="C48" s="272"/>
      <c r="D48" s="103"/>
      <c r="E48" s="104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4"/>
    </row>
    <row r="49" spans="1:20" ht="13.5" customHeight="1">
      <c r="A49" s="198"/>
      <c r="B49" s="273"/>
      <c r="C49" s="274"/>
      <c r="D49" s="103"/>
      <c r="E49" s="106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4"/>
    </row>
    <row r="50" spans="1:20" ht="13.5" customHeight="1">
      <c r="A50" s="198"/>
      <c r="B50" s="273" t="s">
        <v>160</v>
      </c>
      <c r="C50" s="274"/>
      <c r="D50" s="103"/>
      <c r="E50" s="106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4"/>
    </row>
    <row r="51" spans="1:20" ht="13.5" customHeight="1">
      <c r="A51" s="198"/>
      <c r="B51" s="273"/>
      <c r="C51" s="274"/>
      <c r="D51" s="103"/>
      <c r="E51" s="106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4"/>
    </row>
    <row r="52" spans="1:20" ht="13.5" customHeight="1">
      <c r="A52" s="198"/>
      <c r="B52" s="273" t="s">
        <v>161</v>
      </c>
      <c r="C52" s="274"/>
      <c r="D52" s="103"/>
      <c r="E52" s="106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4"/>
    </row>
    <row r="53" spans="1:20" ht="13.5" customHeight="1">
      <c r="A53" s="198"/>
      <c r="B53" s="273"/>
      <c r="C53" s="274"/>
      <c r="D53" s="103" t="s">
        <v>189</v>
      </c>
      <c r="E53" s="106"/>
      <c r="F53" s="263"/>
      <c r="G53" s="263"/>
      <c r="H53" s="263"/>
      <c r="I53" s="263"/>
      <c r="J53" s="263"/>
      <c r="K53" s="263"/>
      <c r="L53" s="263" t="s">
        <v>155</v>
      </c>
      <c r="M53" s="263"/>
      <c r="N53" s="263"/>
      <c r="O53" s="263"/>
      <c r="P53" s="263"/>
      <c r="Q53" s="263"/>
      <c r="R53" s="263"/>
      <c r="S53" s="263"/>
      <c r="T53" s="264"/>
    </row>
    <row r="54" spans="1:20" ht="13.5" customHeight="1">
      <c r="A54" s="198"/>
      <c r="B54" s="275"/>
      <c r="C54" s="276"/>
      <c r="D54" s="184"/>
      <c r="E54" s="185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8"/>
    </row>
    <row r="55" spans="1:20" ht="13.5" customHeight="1">
      <c r="A55" s="199" t="s">
        <v>162</v>
      </c>
      <c r="B55" s="507" t="s">
        <v>163</v>
      </c>
      <c r="C55" s="507"/>
      <c r="D55" s="507"/>
      <c r="E55" s="365"/>
      <c r="F55" s="279" t="s">
        <v>119</v>
      </c>
      <c r="G55" s="279" t="s">
        <v>118</v>
      </c>
      <c r="H55" s="279" t="s">
        <v>118</v>
      </c>
      <c r="I55" s="279" t="s">
        <v>119</v>
      </c>
      <c r="J55" s="279" t="s">
        <v>119</v>
      </c>
      <c r="K55" s="279" t="s">
        <v>62</v>
      </c>
      <c r="L55" s="279" t="s">
        <v>62</v>
      </c>
      <c r="M55" s="279" t="s">
        <v>62</v>
      </c>
      <c r="N55" s="279" t="s">
        <v>118</v>
      </c>
      <c r="O55" s="279" t="s">
        <v>118</v>
      </c>
      <c r="P55" s="279"/>
      <c r="Q55" s="279"/>
      <c r="R55" s="279"/>
      <c r="S55" s="279"/>
      <c r="T55" s="280"/>
    </row>
    <row r="56" spans="1:20" ht="13.5" customHeight="1">
      <c r="A56" s="192"/>
      <c r="B56" s="424" t="s">
        <v>164</v>
      </c>
      <c r="C56" s="424"/>
      <c r="D56" s="424"/>
      <c r="E56" s="108"/>
      <c r="F56" s="281" t="s">
        <v>165</v>
      </c>
      <c r="G56" s="281" t="s">
        <v>165</v>
      </c>
      <c r="H56" s="281" t="s">
        <v>165</v>
      </c>
      <c r="I56" s="281" t="s">
        <v>165</v>
      </c>
      <c r="J56" s="281" t="s">
        <v>165</v>
      </c>
      <c r="K56" s="281" t="s">
        <v>165</v>
      </c>
      <c r="L56" s="281" t="s">
        <v>165</v>
      </c>
      <c r="M56" s="281" t="s">
        <v>165</v>
      </c>
      <c r="N56" s="281" t="s">
        <v>165</v>
      </c>
      <c r="O56" s="281" t="s">
        <v>165</v>
      </c>
      <c r="P56" s="281"/>
      <c r="Q56" s="281"/>
      <c r="R56" s="281"/>
      <c r="S56" s="281"/>
      <c r="T56" s="282"/>
    </row>
    <row r="57" spans="1:20" ht="78.75" customHeight="1">
      <c r="A57" s="192"/>
      <c r="B57" s="406" t="s">
        <v>166</v>
      </c>
      <c r="C57" s="406"/>
      <c r="D57" s="406"/>
      <c r="E57" s="109"/>
      <c r="F57" s="110">
        <v>46103</v>
      </c>
      <c r="G57" s="110">
        <v>46103</v>
      </c>
      <c r="H57" s="110">
        <v>46103</v>
      </c>
      <c r="I57" s="110">
        <v>46103</v>
      </c>
      <c r="J57" s="110">
        <v>46103</v>
      </c>
      <c r="K57" s="110">
        <v>46103</v>
      </c>
      <c r="L57" s="110">
        <v>46103</v>
      </c>
      <c r="M57" s="110">
        <v>46103</v>
      </c>
      <c r="N57" s="110">
        <v>46103</v>
      </c>
      <c r="O57" s="110">
        <v>46103</v>
      </c>
      <c r="P57" s="110"/>
      <c r="Q57" s="110"/>
      <c r="R57" s="110"/>
      <c r="S57" s="110"/>
      <c r="T57" s="193"/>
    </row>
    <row r="58" spans="1:20" ht="10.5">
      <c r="A58" s="194"/>
      <c r="B58" s="409" t="s">
        <v>167</v>
      </c>
      <c r="C58" s="409"/>
      <c r="D58" s="409"/>
      <c r="E58" s="195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7"/>
    </row>
    <row r="59" spans="1:20" ht="10.5">
      <c r="A59" s="79"/>
      <c r="B59" s="75"/>
      <c r="C59" s="364"/>
      <c r="D59" s="75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9:E29"/>
    <mergeCell ref="B55:D55"/>
    <mergeCell ref="B56:D56"/>
    <mergeCell ref="B57:D57"/>
    <mergeCell ref="B58:D58"/>
  </mergeCells>
  <phoneticPr fontId="44"/>
  <dataValidations count="3">
    <dataValidation type="list" allowBlank="1" showInputMessage="1" showErrorMessage="1" sqref="F56:T56" xr:uid="{0EDB2FA4-D04C-4343-A086-E077059C7EE2}">
      <formula1>"P,F, "</formula1>
    </dataValidation>
    <dataValidation type="list" allowBlank="1" showInputMessage="1" showErrorMessage="1" sqref="F55:T55" xr:uid="{E7D5E366-5900-4AEA-84EE-7F6039CF4EF3}">
      <formula1>"N,A,B, "</formula1>
    </dataValidation>
    <dataValidation type="list" allowBlank="1" showInputMessage="1" showErrorMessage="1" sqref="F10:T54" xr:uid="{D5AF4B3F-7F99-45CE-B252-B865B573C63F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6A17-FB96-48CA-94EE-0E141D4D3441}">
  <dimension ref="A1:W60"/>
  <sheetViews>
    <sheetView topLeftCell="B37" workbookViewId="0">
      <selection activeCell="O58" sqref="O58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76" customWidth="1"/>
    <col min="5" max="5" width="0.5703125" style="75" hidden="1" customWidth="1"/>
    <col min="6" max="6" width="8.85546875" style="75" customWidth="1"/>
    <col min="7" max="7" width="7.7109375" style="75" customWidth="1"/>
    <col min="8" max="8" width="10.28515625" style="75" customWidth="1"/>
    <col min="9" max="9" width="8.5703125" style="75" customWidth="1"/>
    <col min="10" max="10" width="8.42578125" style="75" customWidth="1"/>
    <col min="11" max="11" width="8" style="75" customWidth="1"/>
    <col min="12" max="12" width="5.85546875" style="75" customWidth="1"/>
    <col min="13" max="13" width="6.7109375" style="75" customWidth="1"/>
    <col min="14" max="19" width="2.85546875" style="75" customWidth="1"/>
    <col min="20" max="20" width="2.85546875" style="75" bestFit="1" customWidth="1"/>
    <col min="21" max="21" width="2.85546875" style="75" customWidth="1"/>
    <col min="22" max="16384" width="9" style="75"/>
  </cols>
  <sheetData>
    <row r="1" spans="1:23" ht="13.5" customHeight="1">
      <c r="A1" s="73"/>
      <c r="B1" s="74"/>
      <c r="D1" s="364"/>
    </row>
    <row r="2" spans="1:23" ht="13.5" customHeight="1">
      <c r="A2" s="508" t="s">
        <v>129</v>
      </c>
      <c r="B2" s="509"/>
      <c r="C2" s="510" t="s">
        <v>190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190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3" ht="13.5" customHeight="1">
      <c r="A3" s="418" t="s">
        <v>130</v>
      </c>
      <c r="B3" s="419"/>
      <c r="C3" s="413" t="s">
        <v>131</v>
      </c>
      <c r="D3" s="414"/>
      <c r="E3" s="415"/>
      <c r="F3" s="449" t="s">
        <v>132</v>
      </c>
      <c r="G3" s="450"/>
      <c r="H3" s="450"/>
      <c r="I3" s="450"/>
      <c r="J3" s="450"/>
      <c r="K3" s="451"/>
      <c r="L3" s="414" t="s">
        <v>131</v>
      </c>
      <c r="M3" s="414"/>
      <c r="N3" s="414"/>
      <c r="O3" s="171"/>
      <c r="P3" s="171"/>
      <c r="Q3" s="171"/>
      <c r="R3" s="171"/>
      <c r="S3" s="171"/>
      <c r="T3" s="172"/>
    </row>
    <row r="4" spans="1:23" ht="13.5" customHeight="1">
      <c r="A4" s="418" t="s">
        <v>133</v>
      </c>
      <c r="B4" s="419"/>
      <c r="C4" s="420">
        <v>8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-14.28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3" ht="13.5" customHeight="1">
      <c r="A5" s="418" t="s">
        <v>135</v>
      </c>
      <c r="B5" s="419"/>
      <c r="C5" s="454" t="s">
        <v>191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3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3" ht="13.5" customHeight="1">
      <c r="A7" s="407">
        <f>COUNTIF(F57:HQ58,"P")</f>
        <v>10</v>
      </c>
      <c r="B7" s="408"/>
      <c r="C7" s="452">
        <f>COUNTIF(F58:HQ58,"F")</f>
        <v>0</v>
      </c>
      <c r="D7" s="428"/>
      <c r="E7" s="408"/>
      <c r="F7" s="452">
        <f>SUM(O7,- A7,- C7)</f>
        <v>5</v>
      </c>
      <c r="G7" s="428"/>
      <c r="H7" s="428"/>
      <c r="I7" s="428"/>
      <c r="J7" s="428"/>
      <c r="K7" s="453"/>
      <c r="L7" s="173">
        <f>COUNTIF(E56:HQ57,"N")</f>
        <v>4</v>
      </c>
      <c r="M7" s="173">
        <f>COUNTIF(E56:HQ57,"A")</f>
        <v>2</v>
      </c>
      <c r="N7" s="173">
        <f>COUNTIF(E56:HQ57,"B")</f>
        <v>4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3" ht="10.5">
      <c r="D8" s="364"/>
    </row>
    <row r="9" spans="1:23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80"/>
      <c r="V9" s="81"/>
      <c r="W9" s="82"/>
    </row>
    <row r="10" spans="1:23" ht="13.5" customHeight="1">
      <c r="A10" s="200" t="s">
        <v>152</v>
      </c>
      <c r="B10" s="83" t="s">
        <v>153</v>
      </c>
      <c r="C10" s="84"/>
      <c r="D10" s="255" t="s">
        <v>81</v>
      </c>
      <c r="E10" s="85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208"/>
    </row>
    <row r="11" spans="1:23" ht="13.5" customHeight="1">
      <c r="A11" s="191"/>
      <c r="B11" s="83"/>
      <c r="C11" s="84"/>
      <c r="D11" s="255"/>
      <c r="E11" s="87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208"/>
      <c r="V11" s="77"/>
    </row>
    <row r="12" spans="1:23" ht="13.5" customHeight="1">
      <c r="A12" s="191"/>
      <c r="B12" s="83"/>
      <c r="C12" s="84"/>
      <c r="D12" s="255" t="s">
        <v>192</v>
      </c>
      <c r="E12" s="87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208"/>
    </row>
    <row r="13" spans="1:23" ht="13.5" customHeight="1">
      <c r="A13" s="191"/>
      <c r="B13" s="83"/>
      <c r="C13" s="84"/>
      <c r="D13" s="255">
        <v>10</v>
      </c>
      <c r="E13" s="88"/>
      <c r="F13" s="86" t="s">
        <v>155</v>
      </c>
      <c r="G13" s="86"/>
      <c r="H13" s="86" t="s">
        <v>155</v>
      </c>
      <c r="I13" s="86"/>
      <c r="J13" s="86"/>
      <c r="K13" s="86"/>
      <c r="L13" s="86"/>
      <c r="M13" s="86"/>
      <c r="N13" s="86" t="s">
        <v>155</v>
      </c>
      <c r="O13" s="86"/>
      <c r="P13" s="86"/>
      <c r="Q13" s="86"/>
      <c r="R13" s="86"/>
      <c r="S13" s="86"/>
      <c r="T13" s="208"/>
    </row>
    <row r="14" spans="1:23" ht="13.5" customHeight="1">
      <c r="A14" s="191"/>
      <c r="B14" s="251"/>
      <c r="C14" s="84"/>
      <c r="D14" s="255">
        <v>0</v>
      </c>
      <c r="E14" s="89"/>
      <c r="F14" s="86"/>
      <c r="G14" s="86" t="s">
        <v>155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208"/>
    </row>
    <row r="15" spans="1:23" ht="13.5" customHeight="1">
      <c r="A15" s="191"/>
      <c r="B15" s="83"/>
      <c r="C15" s="84"/>
      <c r="D15" s="255">
        <v>1000</v>
      </c>
      <c r="E15" s="89"/>
      <c r="F15" s="86"/>
      <c r="G15" s="86"/>
      <c r="H15" s="86"/>
      <c r="I15" s="86" t="s">
        <v>155</v>
      </c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208"/>
    </row>
    <row r="16" spans="1:23" ht="13.5" customHeight="1">
      <c r="A16" s="191"/>
      <c r="B16" s="83"/>
      <c r="C16" s="84"/>
      <c r="D16" s="255">
        <v>10.5</v>
      </c>
      <c r="E16" s="89"/>
      <c r="F16" s="86"/>
      <c r="G16" s="86"/>
      <c r="H16" s="86"/>
      <c r="I16" s="86"/>
      <c r="J16" s="86" t="s">
        <v>155</v>
      </c>
      <c r="K16" s="86"/>
      <c r="L16" s="86"/>
      <c r="M16" s="86"/>
      <c r="N16" s="86"/>
      <c r="O16" s="86"/>
      <c r="P16" s="86"/>
      <c r="Q16" s="86"/>
      <c r="R16" s="86"/>
      <c r="S16" s="86"/>
      <c r="T16" s="208"/>
    </row>
    <row r="17" spans="1:21" ht="13.5" customHeight="1">
      <c r="A17" s="191"/>
      <c r="B17" s="83"/>
      <c r="C17" s="84"/>
      <c r="D17" s="255">
        <v>-10</v>
      </c>
      <c r="E17" s="89"/>
      <c r="F17" s="86"/>
      <c r="G17" s="86"/>
      <c r="H17" s="86"/>
      <c r="I17" s="86"/>
      <c r="J17" s="86"/>
      <c r="K17" s="86" t="s">
        <v>155</v>
      </c>
      <c r="L17" s="86"/>
      <c r="M17" s="86"/>
      <c r="N17" s="86"/>
      <c r="O17" s="86"/>
      <c r="P17" s="86"/>
      <c r="Q17" s="86"/>
      <c r="R17" s="86"/>
      <c r="S17" s="86"/>
      <c r="T17" s="208"/>
    </row>
    <row r="18" spans="1:21" ht="13.5" customHeight="1">
      <c r="A18" s="191"/>
      <c r="B18" s="83"/>
      <c r="C18" s="84"/>
      <c r="D18" s="255" t="s">
        <v>174</v>
      </c>
      <c r="E18" s="89"/>
      <c r="F18" s="86"/>
      <c r="G18" s="86"/>
      <c r="H18" s="86"/>
      <c r="I18" s="86"/>
      <c r="J18" s="86"/>
      <c r="K18" s="86"/>
      <c r="L18" s="86" t="s">
        <v>155</v>
      </c>
      <c r="M18" s="86"/>
      <c r="N18" s="86"/>
      <c r="O18" s="86"/>
      <c r="P18" s="86"/>
      <c r="Q18" s="86"/>
      <c r="R18" s="86"/>
      <c r="S18" s="86"/>
      <c r="T18" s="208"/>
    </row>
    <row r="19" spans="1:21" ht="13.5" customHeight="1">
      <c r="A19" s="191"/>
      <c r="B19" s="83"/>
      <c r="C19" s="84"/>
      <c r="D19" s="255">
        <v>0.01</v>
      </c>
      <c r="E19" s="89"/>
      <c r="F19" s="86"/>
      <c r="G19" s="86"/>
      <c r="H19" s="86"/>
      <c r="I19" s="86"/>
      <c r="J19" s="86"/>
      <c r="K19" s="86"/>
      <c r="L19" s="86"/>
      <c r="M19" s="86" t="s">
        <v>155</v>
      </c>
      <c r="N19" s="86"/>
      <c r="O19" s="86"/>
      <c r="P19" s="86"/>
      <c r="Q19" s="86"/>
      <c r="R19" s="86"/>
      <c r="S19" s="86"/>
      <c r="T19" s="208"/>
    </row>
    <row r="20" spans="1:21" ht="13.5" customHeight="1">
      <c r="A20" s="191"/>
      <c r="B20" s="83"/>
      <c r="C20" s="84"/>
      <c r="D20" s="255" t="s">
        <v>171</v>
      </c>
      <c r="E20" s="89"/>
      <c r="F20" s="86"/>
      <c r="G20" s="86"/>
      <c r="H20" s="86"/>
      <c r="I20" s="86"/>
      <c r="J20" s="86"/>
      <c r="K20" s="86"/>
      <c r="L20" s="86"/>
      <c r="M20" s="86"/>
      <c r="N20" s="86"/>
      <c r="O20" s="86" t="s">
        <v>155</v>
      </c>
      <c r="P20" s="86"/>
      <c r="Q20" s="86"/>
      <c r="R20" s="86"/>
      <c r="S20" s="86"/>
      <c r="T20" s="208"/>
    </row>
    <row r="21" spans="1:21" ht="14.25" customHeight="1">
      <c r="A21" s="191"/>
      <c r="B21" s="83"/>
      <c r="C21" s="84"/>
      <c r="D21" s="255" t="s">
        <v>186</v>
      </c>
      <c r="E21" s="89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208"/>
    </row>
    <row r="22" spans="1:21" ht="14.25" customHeight="1">
      <c r="A22" s="191"/>
      <c r="B22" s="83"/>
      <c r="C22" s="84"/>
      <c r="D22" s="255">
        <v>-5</v>
      </c>
      <c r="E22" s="89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208"/>
    </row>
    <row r="23" spans="1:21" ht="14.25" customHeight="1">
      <c r="A23" s="191"/>
      <c r="B23" s="83"/>
      <c r="C23" s="84"/>
      <c r="D23" s="255">
        <v>1</v>
      </c>
      <c r="E23" s="89"/>
      <c r="F23" s="86"/>
      <c r="G23" s="86"/>
      <c r="H23" s="86"/>
      <c r="I23" s="86"/>
      <c r="J23" s="86"/>
      <c r="K23" s="86"/>
      <c r="L23" s="86"/>
      <c r="M23" s="86" t="s">
        <v>155</v>
      </c>
      <c r="N23" s="86"/>
      <c r="O23" s="86"/>
      <c r="P23" s="86"/>
      <c r="Q23" s="86"/>
      <c r="R23" s="86"/>
      <c r="S23" s="86"/>
      <c r="T23" s="208"/>
    </row>
    <row r="24" spans="1:21" ht="14.25" customHeight="1">
      <c r="A24" s="191"/>
      <c r="B24" s="83"/>
      <c r="C24" s="84"/>
      <c r="D24" s="255">
        <v>1.5</v>
      </c>
      <c r="E24" s="89"/>
      <c r="F24" s="86"/>
      <c r="G24" s="86"/>
      <c r="H24" s="86"/>
      <c r="I24" s="86"/>
      <c r="J24" s="86"/>
      <c r="K24" s="86"/>
      <c r="L24" s="86"/>
      <c r="M24" s="86"/>
      <c r="N24" s="86" t="s">
        <v>155</v>
      </c>
      <c r="O24" s="86"/>
      <c r="P24" s="86"/>
      <c r="Q24" s="86"/>
      <c r="R24" s="86"/>
      <c r="S24" s="86"/>
      <c r="T24" s="208"/>
    </row>
    <row r="25" spans="1:21" ht="13.5" customHeight="1">
      <c r="A25" s="191"/>
      <c r="B25" s="83"/>
      <c r="C25" s="84"/>
      <c r="D25" s="255">
        <v>2</v>
      </c>
      <c r="E25" s="89"/>
      <c r="F25" s="86" t="s">
        <v>155</v>
      </c>
      <c r="G25" s="86"/>
      <c r="H25" s="86"/>
      <c r="I25" s="86"/>
      <c r="J25" s="86" t="s">
        <v>155</v>
      </c>
      <c r="K25" s="86" t="s">
        <v>155</v>
      </c>
      <c r="L25" s="86" t="s">
        <v>155</v>
      </c>
      <c r="M25" s="86"/>
      <c r="N25" s="86"/>
      <c r="O25" s="86"/>
      <c r="P25" s="86"/>
      <c r="Q25" s="86"/>
      <c r="R25" s="86"/>
      <c r="S25" s="86"/>
      <c r="T25" s="208"/>
      <c r="U25" s="90"/>
    </row>
    <row r="26" spans="1:21" ht="13.5" customHeight="1">
      <c r="A26" s="191"/>
      <c r="B26" s="83"/>
      <c r="C26" s="84"/>
      <c r="D26" s="255">
        <v>5</v>
      </c>
      <c r="E26" s="89"/>
      <c r="F26" s="86"/>
      <c r="G26" s="86" t="s">
        <v>155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208"/>
      <c r="U26" s="90"/>
    </row>
    <row r="27" spans="1:21" ht="13.5" customHeight="1">
      <c r="A27" s="191"/>
      <c r="B27" s="83"/>
      <c r="C27" s="84"/>
      <c r="D27" s="255">
        <v>0</v>
      </c>
      <c r="E27" s="89"/>
      <c r="F27" s="86"/>
      <c r="G27" s="86"/>
      <c r="H27" s="86" t="s">
        <v>155</v>
      </c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208"/>
      <c r="U27" s="90"/>
    </row>
    <row r="28" spans="1:21" ht="13.5" customHeight="1">
      <c r="A28" s="191"/>
      <c r="B28" s="83"/>
      <c r="C28" s="84"/>
      <c r="D28" s="518">
        <v>2000</v>
      </c>
      <c r="E28" s="518"/>
      <c r="F28" s="86"/>
      <c r="G28" s="86"/>
      <c r="H28" s="86"/>
      <c r="I28" s="86" t="s">
        <v>155</v>
      </c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208"/>
    </row>
    <row r="29" spans="1:21" ht="13.5" customHeight="1">
      <c r="A29" s="191"/>
      <c r="B29" s="83"/>
      <c r="C29" s="84"/>
      <c r="D29" s="255" t="s">
        <v>171</v>
      </c>
      <c r="E29" s="89"/>
      <c r="F29" s="86"/>
      <c r="G29" s="86"/>
      <c r="H29" s="86"/>
      <c r="I29" s="86"/>
      <c r="J29" s="86"/>
      <c r="K29" s="86"/>
      <c r="L29" s="86"/>
      <c r="M29" s="86"/>
      <c r="N29" s="86"/>
      <c r="O29" s="86" t="s">
        <v>155</v>
      </c>
      <c r="P29" s="86"/>
      <c r="Q29" s="86"/>
      <c r="R29" s="86"/>
      <c r="S29" s="86"/>
      <c r="T29" s="208"/>
    </row>
    <row r="30" spans="1:21" ht="13.5" customHeight="1">
      <c r="A30" s="191"/>
      <c r="B30" s="83"/>
      <c r="C30" s="84"/>
      <c r="D30" s="255"/>
      <c r="E30" s="89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208"/>
    </row>
    <row r="31" spans="1:21" ht="13.5" customHeight="1">
      <c r="A31" s="191"/>
      <c r="B31" s="251"/>
      <c r="C31" s="84"/>
      <c r="D31" s="255"/>
      <c r="E31" s="89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208"/>
    </row>
    <row r="32" spans="1:21" ht="13.5" customHeight="1">
      <c r="A32" s="191"/>
      <c r="B32" s="83"/>
      <c r="C32" s="84"/>
      <c r="D32" s="257"/>
      <c r="E32" s="89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208"/>
    </row>
    <row r="33" spans="1:20" ht="13.5" customHeight="1">
      <c r="A33" s="191"/>
      <c r="B33" s="83"/>
      <c r="C33" s="84"/>
      <c r="D33" s="255"/>
      <c r="E33" s="89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208"/>
    </row>
    <row r="34" spans="1:20" ht="13.5" customHeight="1">
      <c r="A34" s="191"/>
      <c r="B34" s="83"/>
      <c r="C34" s="84"/>
      <c r="D34" s="255"/>
      <c r="E34" s="89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208"/>
    </row>
    <row r="35" spans="1:20" ht="13.5" customHeight="1">
      <c r="A35" s="191"/>
      <c r="B35" s="83"/>
      <c r="C35" s="84"/>
      <c r="D35" s="257"/>
      <c r="E35" s="89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208"/>
    </row>
    <row r="36" spans="1:20" ht="13.5" customHeight="1">
      <c r="A36" s="191"/>
      <c r="B36" s="83"/>
      <c r="C36" s="84"/>
      <c r="D36" s="255"/>
      <c r="E36" s="89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208"/>
    </row>
    <row r="37" spans="1:20" ht="13.5" customHeight="1">
      <c r="A37" s="191"/>
      <c r="B37" s="251"/>
      <c r="C37" s="84"/>
      <c r="D37" s="255"/>
      <c r="E37" s="89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208"/>
    </row>
    <row r="38" spans="1:20" ht="13.5" customHeight="1">
      <c r="A38" s="191"/>
      <c r="B38" s="83"/>
      <c r="C38" s="84"/>
      <c r="D38" s="255"/>
      <c r="E38" s="89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208"/>
    </row>
    <row r="39" spans="1:20" ht="13.5" customHeight="1">
      <c r="A39" s="191"/>
      <c r="B39" s="83"/>
      <c r="C39" s="84"/>
      <c r="D39" s="255"/>
      <c r="E39" s="89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208"/>
    </row>
    <row r="40" spans="1:20" ht="13.5" customHeight="1">
      <c r="A40" s="191"/>
      <c r="B40" s="91"/>
      <c r="C40" s="92"/>
      <c r="D40" s="93"/>
      <c r="E40" s="94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209"/>
    </row>
    <row r="41" spans="1:20" ht="13.5" customHeight="1">
      <c r="A41" s="199" t="s">
        <v>158</v>
      </c>
      <c r="B41" s="96" t="s">
        <v>159</v>
      </c>
      <c r="C41" s="97"/>
      <c r="D41" s="98"/>
      <c r="E41" s="99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210"/>
    </row>
    <row r="42" spans="1:20" ht="13.5" customHeight="1">
      <c r="A42" s="198"/>
      <c r="B42" s="96"/>
      <c r="C42" s="97"/>
      <c r="D42" s="98">
        <v>-20</v>
      </c>
      <c r="E42" s="99"/>
      <c r="F42" s="100"/>
      <c r="G42" s="100"/>
      <c r="H42" s="100"/>
      <c r="I42" s="100"/>
      <c r="J42" s="100"/>
      <c r="K42" s="100" t="s">
        <v>155</v>
      </c>
      <c r="L42" s="100"/>
      <c r="M42" s="100"/>
      <c r="N42" s="100"/>
      <c r="O42" s="100"/>
      <c r="P42" s="100"/>
      <c r="Q42" s="100"/>
      <c r="R42" s="100"/>
      <c r="S42" s="100"/>
      <c r="T42" s="210"/>
    </row>
    <row r="43" spans="1:20" ht="13.5" customHeight="1">
      <c r="A43" s="198"/>
      <c r="B43" s="96"/>
      <c r="C43" s="97"/>
      <c r="D43" s="98">
        <v>0.01</v>
      </c>
      <c r="E43" s="99"/>
      <c r="F43" s="100"/>
      <c r="G43" s="100"/>
      <c r="H43" s="100"/>
      <c r="I43" s="100"/>
      <c r="J43" s="100"/>
      <c r="K43" s="100"/>
      <c r="L43" s="100"/>
      <c r="M43" s="100" t="s">
        <v>155</v>
      </c>
      <c r="N43" s="100"/>
      <c r="O43" s="100"/>
      <c r="P43" s="100"/>
      <c r="Q43" s="100"/>
      <c r="R43" s="100"/>
      <c r="S43" s="100"/>
      <c r="T43" s="210"/>
    </row>
    <row r="44" spans="1:20" ht="13.5" customHeight="1">
      <c r="A44" s="198"/>
      <c r="B44" s="96"/>
      <c r="C44" s="97"/>
      <c r="D44" s="98">
        <v>15</v>
      </c>
      <c r="E44" s="99"/>
      <c r="F44" s="100"/>
      <c r="G44" s="100"/>
      <c r="H44" s="100"/>
      <c r="I44" s="100"/>
      <c r="J44" s="100"/>
      <c r="K44" s="100"/>
      <c r="L44" s="100"/>
      <c r="M44" s="100"/>
      <c r="N44" s="100" t="s">
        <v>155</v>
      </c>
      <c r="O44" s="100"/>
      <c r="P44" s="100"/>
      <c r="Q44" s="100"/>
      <c r="R44" s="100"/>
      <c r="S44" s="100"/>
      <c r="T44" s="210"/>
    </row>
    <row r="45" spans="1:20" ht="33.75" customHeight="1">
      <c r="A45" s="198"/>
      <c r="B45" s="148"/>
      <c r="C45" s="102"/>
      <c r="D45" s="258">
        <v>20</v>
      </c>
      <c r="E45" s="104"/>
      <c r="F45" s="86" t="s">
        <v>155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208"/>
    </row>
    <row r="46" spans="1:20" ht="15" customHeight="1">
      <c r="A46" s="198"/>
      <c r="B46" s="148"/>
      <c r="C46" s="102"/>
      <c r="D46" s="259">
        <v>0</v>
      </c>
      <c r="E46" s="104"/>
      <c r="F46" s="86"/>
      <c r="G46" s="86" t="s">
        <v>155</v>
      </c>
      <c r="H46" s="86" t="s">
        <v>155</v>
      </c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208"/>
    </row>
    <row r="47" spans="1:20" ht="22.5" customHeight="1">
      <c r="A47" s="198"/>
      <c r="B47" s="148"/>
      <c r="C47" s="102"/>
      <c r="D47" s="261">
        <v>2000000</v>
      </c>
      <c r="E47" s="104"/>
      <c r="F47" s="86"/>
      <c r="G47" s="86"/>
      <c r="H47" s="86"/>
      <c r="I47" s="86" t="s">
        <v>155</v>
      </c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208"/>
    </row>
    <row r="48" spans="1:20" ht="13.5" customHeight="1">
      <c r="A48" s="198"/>
      <c r="B48" s="148"/>
      <c r="C48" s="102"/>
      <c r="D48">
        <v>21</v>
      </c>
      <c r="E48" s="104"/>
      <c r="F48" s="86"/>
      <c r="G48" s="86"/>
      <c r="H48" s="86"/>
      <c r="I48" s="86"/>
      <c r="J48" s="86" t="s">
        <v>155</v>
      </c>
      <c r="K48" s="86"/>
      <c r="L48" s="86"/>
      <c r="M48" s="86"/>
      <c r="N48" s="86"/>
      <c r="O48" s="86"/>
      <c r="P48" s="86"/>
      <c r="Q48" s="86"/>
      <c r="R48" s="86"/>
      <c r="S48" s="86"/>
      <c r="T48" s="208"/>
    </row>
    <row r="49" spans="1:20" ht="13.5" customHeight="1">
      <c r="A49" s="198"/>
      <c r="B49" s="148"/>
      <c r="C49" s="102"/>
      <c r="D49" s="103" t="s">
        <v>171</v>
      </c>
      <c r="E49" s="104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208"/>
    </row>
    <row r="50" spans="1:20" ht="13.5" customHeight="1">
      <c r="A50" s="198"/>
      <c r="B50" s="101"/>
      <c r="C50" s="105"/>
      <c r="D50" s="103"/>
      <c r="E50" s="106"/>
      <c r="F50" s="86"/>
      <c r="G50" s="86"/>
      <c r="H50" s="86"/>
      <c r="I50" s="86"/>
      <c r="J50" s="86"/>
      <c r="K50" s="86"/>
      <c r="L50" s="86"/>
      <c r="M50" s="86"/>
      <c r="N50" s="86"/>
      <c r="O50" s="86" t="s">
        <v>155</v>
      </c>
      <c r="P50" s="86"/>
      <c r="Q50" s="86"/>
      <c r="R50" s="86"/>
      <c r="S50" s="86"/>
      <c r="T50" s="208"/>
    </row>
    <row r="51" spans="1:20" ht="13.5" customHeight="1">
      <c r="A51" s="198"/>
      <c r="B51" s="101" t="s">
        <v>160</v>
      </c>
      <c r="C51" s="105"/>
      <c r="D51" s="103"/>
      <c r="E51" s="10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208"/>
    </row>
    <row r="52" spans="1:20" ht="13.5" customHeight="1">
      <c r="A52" s="198"/>
      <c r="B52" s="101"/>
      <c r="C52" s="105"/>
      <c r="D52" s="103"/>
      <c r="E52" s="10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208"/>
    </row>
    <row r="53" spans="1:20" ht="13.5" customHeight="1">
      <c r="A53" s="198"/>
      <c r="B53" s="101" t="s">
        <v>161</v>
      </c>
      <c r="C53" s="105"/>
      <c r="D53" s="103"/>
      <c r="E53" s="10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208"/>
    </row>
    <row r="54" spans="1:20" ht="13.5" customHeight="1">
      <c r="A54" s="198"/>
      <c r="B54" s="101"/>
      <c r="C54" s="105"/>
      <c r="D54" s="103" t="s">
        <v>193</v>
      </c>
      <c r="E54" s="106"/>
      <c r="F54" s="86"/>
      <c r="G54" s="86"/>
      <c r="H54" s="86"/>
      <c r="I54" s="86"/>
      <c r="J54" s="86"/>
      <c r="K54" s="86"/>
      <c r="L54" s="86" t="s">
        <v>155</v>
      </c>
      <c r="M54" s="86"/>
      <c r="N54" s="86"/>
      <c r="O54" s="86" t="s">
        <v>155</v>
      </c>
      <c r="P54" s="86"/>
      <c r="Q54" s="86"/>
      <c r="R54" s="86"/>
      <c r="S54" s="86"/>
      <c r="T54" s="208"/>
    </row>
    <row r="55" spans="1:20" ht="13.5" customHeight="1">
      <c r="A55" s="198"/>
      <c r="B55" s="182"/>
      <c r="C55" s="183"/>
      <c r="D55" s="184"/>
      <c r="E55" s="185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11"/>
    </row>
    <row r="56" spans="1:20" ht="13.5" customHeight="1">
      <c r="A56" s="199" t="s">
        <v>162</v>
      </c>
      <c r="B56" s="519" t="s">
        <v>163</v>
      </c>
      <c r="C56" s="519"/>
      <c r="D56" s="519"/>
      <c r="E56" s="367"/>
      <c r="F56" s="202" t="s">
        <v>118</v>
      </c>
      <c r="G56" s="202" t="s">
        <v>119</v>
      </c>
      <c r="H56" s="202" t="s">
        <v>119</v>
      </c>
      <c r="I56" s="202" t="s">
        <v>118</v>
      </c>
      <c r="J56" s="202" t="s">
        <v>118</v>
      </c>
      <c r="K56" s="202" t="s">
        <v>62</v>
      </c>
      <c r="L56" s="202" t="s">
        <v>119</v>
      </c>
      <c r="M56" s="202" t="s">
        <v>119</v>
      </c>
      <c r="N56" s="202" t="s">
        <v>118</v>
      </c>
      <c r="O56" s="202" t="s">
        <v>62</v>
      </c>
      <c r="P56" s="202"/>
      <c r="Q56" s="202"/>
      <c r="R56" s="202"/>
      <c r="S56" s="202"/>
      <c r="T56" s="212"/>
    </row>
    <row r="57" spans="1:20" ht="13.5" customHeight="1">
      <c r="A57" s="192"/>
      <c r="B57" s="424" t="s">
        <v>164</v>
      </c>
      <c r="C57" s="424"/>
      <c r="D57" s="424"/>
      <c r="E57" s="108"/>
      <c r="F57" s="107" t="s">
        <v>165</v>
      </c>
      <c r="G57" s="107" t="s">
        <v>165</v>
      </c>
      <c r="H57" s="107" t="s">
        <v>165</v>
      </c>
      <c r="I57" s="107" t="s">
        <v>165</v>
      </c>
      <c r="J57" s="107" t="s">
        <v>165</v>
      </c>
      <c r="K57" s="107" t="s">
        <v>165</v>
      </c>
      <c r="L57" s="107" t="s">
        <v>165</v>
      </c>
      <c r="M57" s="107" t="s">
        <v>165</v>
      </c>
      <c r="N57" s="107" t="s">
        <v>165</v>
      </c>
      <c r="O57" s="107" t="s">
        <v>165</v>
      </c>
      <c r="P57" s="107"/>
      <c r="Q57" s="107"/>
      <c r="R57" s="107"/>
      <c r="S57" s="107"/>
      <c r="T57" s="213"/>
    </row>
    <row r="58" spans="1:20" ht="57" customHeight="1">
      <c r="A58" s="192"/>
      <c r="B58" s="406" t="s">
        <v>166</v>
      </c>
      <c r="C58" s="406"/>
      <c r="D58" s="406"/>
      <c r="E58" s="109"/>
      <c r="F58" s="110">
        <v>46103</v>
      </c>
      <c r="G58" s="110">
        <v>46103</v>
      </c>
      <c r="H58" s="110">
        <v>46103</v>
      </c>
      <c r="I58" s="110">
        <v>46103</v>
      </c>
      <c r="J58" s="110">
        <v>46103</v>
      </c>
      <c r="K58" s="110">
        <v>46103</v>
      </c>
      <c r="L58" s="110">
        <v>46103</v>
      </c>
      <c r="M58" s="110">
        <v>46103</v>
      </c>
      <c r="N58" s="110">
        <v>46103</v>
      </c>
      <c r="O58" s="110">
        <v>46103</v>
      </c>
      <c r="P58" s="110"/>
      <c r="Q58" s="110"/>
      <c r="R58" s="110"/>
      <c r="S58" s="110"/>
      <c r="T58" s="193"/>
    </row>
    <row r="59" spans="1:20" ht="10.5">
      <c r="A59" s="194"/>
      <c r="B59" s="409" t="s">
        <v>167</v>
      </c>
      <c r="C59" s="409"/>
      <c r="D59" s="409"/>
      <c r="E59" s="195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7"/>
    </row>
    <row r="60" spans="1:20" ht="10.5">
      <c r="A60" s="79"/>
      <c r="B60" s="75"/>
      <c r="C60" s="364"/>
      <c r="D60" s="75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8:E28"/>
    <mergeCell ref="B56:D56"/>
    <mergeCell ref="B57:D57"/>
    <mergeCell ref="B58:D58"/>
    <mergeCell ref="B59:D59"/>
  </mergeCells>
  <phoneticPr fontId="44"/>
  <dataValidations count="3">
    <dataValidation type="list" allowBlank="1" showInputMessage="1" showErrorMessage="1" sqref="F10:T55" xr:uid="{050A046B-EAB3-4D6B-B879-EF6033A13FBB}">
      <formula1>"O, "</formula1>
    </dataValidation>
    <dataValidation type="list" allowBlank="1" showInputMessage="1" showErrorMessage="1" sqref="F56:T56" xr:uid="{F783A49E-F3D9-4B8D-B7E0-D9C935F849CF}">
      <formula1>"N,A,B, "</formula1>
    </dataValidation>
    <dataValidation type="list" allowBlank="1" showInputMessage="1" showErrorMessage="1" sqref="F57:T57" xr:uid="{47569D21-4928-46F7-8C71-BA0B996E5D7F}">
      <formula1>"P,F,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A784-3B0F-4CED-B213-6F811096E4F1}">
  <dimension ref="A1:V53"/>
  <sheetViews>
    <sheetView tabSelected="1" topLeftCell="A17" workbookViewId="0">
      <selection activeCell="N50" sqref="N50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76" customWidth="1"/>
    <col min="5" max="5" width="0.5703125" style="75" hidden="1" customWidth="1"/>
    <col min="6" max="6" width="8.85546875" style="75" customWidth="1"/>
    <col min="7" max="7" width="7.7109375" style="75" customWidth="1"/>
    <col min="8" max="8" width="10.28515625" style="75" customWidth="1"/>
    <col min="9" max="9" width="8.5703125" style="75" customWidth="1"/>
    <col min="10" max="10" width="8.42578125" style="75" customWidth="1"/>
    <col min="11" max="11" width="8" style="75" customWidth="1"/>
    <col min="12" max="12" width="5.85546875" style="75" customWidth="1"/>
    <col min="13" max="13" width="6.7109375" style="75" customWidth="1"/>
    <col min="14" max="19" width="2.85546875" style="75" customWidth="1"/>
    <col min="20" max="20" width="2.85546875" style="75" bestFit="1" customWidth="1"/>
    <col min="21" max="21" width="2.85546875" style="75" customWidth="1"/>
    <col min="22" max="16384" width="9" style="75"/>
  </cols>
  <sheetData>
    <row r="1" spans="1:22" ht="13.5" customHeight="1">
      <c r="A1" s="73"/>
      <c r="B1" s="74"/>
      <c r="D1" s="364"/>
    </row>
    <row r="2" spans="1:22" ht="13.5" customHeight="1">
      <c r="A2" s="508" t="s">
        <v>129</v>
      </c>
      <c r="B2" s="509"/>
      <c r="C2" s="510" t="s">
        <v>190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190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2" ht="13.5" customHeight="1">
      <c r="A3" s="418" t="s">
        <v>130</v>
      </c>
      <c r="B3" s="419"/>
      <c r="C3" s="413" t="s">
        <v>131</v>
      </c>
      <c r="D3" s="414"/>
      <c r="E3" s="415"/>
      <c r="F3" s="449" t="s">
        <v>132</v>
      </c>
      <c r="G3" s="450"/>
      <c r="H3" s="450"/>
      <c r="I3" s="450"/>
      <c r="J3" s="450"/>
      <c r="K3" s="451"/>
      <c r="L3" s="414" t="s">
        <v>131</v>
      </c>
      <c r="M3" s="414"/>
      <c r="N3" s="414"/>
      <c r="O3" s="171"/>
      <c r="P3" s="171"/>
      <c r="Q3" s="171"/>
      <c r="R3" s="171"/>
      <c r="S3" s="171"/>
      <c r="T3" s="172"/>
    </row>
    <row r="4" spans="1:22" ht="13.5" customHeight="1">
      <c r="A4" s="418" t="s">
        <v>133</v>
      </c>
      <c r="B4" s="419"/>
      <c r="C4" s="420">
        <v>8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-14.28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2" ht="13.5" customHeight="1">
      <c r="A5" s="418" t="s">
        <v>135</v>
      </c>
      <c r="B5" s="419"/>
      <c r="C5" s="454" t="s">
        <v>99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2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2" ht="13.5" customHeight="1">
      <c r="A7" s="407">
        <f>COUNTIF(F49:HQ49,"P")</f>
        <v>9</v>
      </c>
      <c r="B7" s="408"/>
      <c r="C7" s="452">
        <f>COUNTIF(F49:HQ49,"F")</f>
        <v>0</v>
      </c>
      <c r="D7" s="428"/>
      <c r="E7" s="408"/>
      <c r="F7" s="452">
        <f>SUM(O7,- A7,- C7)</f>
        <v>6</v>
      </c>
      <c r="G7" s="428"/>
      <c r="H7" s="428"/>
      <c r="I7" s="428"/>
      <c r="J7" s="428"/>
      <c r="K7" s="453"/>
      <c r="L7" s="360">
        <f>COUNTIF(E48:HQ48,"N")</f>
        <v>3</v>
      </c>
      <c r="M7" s="360">
        <f>COUNTIF(E48:HQ48,"A")</f>
        <v>3</v>
      </c>
      <c r="N7" s="360">
        <f>COUNTIF(E48:HQ48,"B")</f>
        <v>3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2" ht="10.5">
      <c r="D8" s="364"/>
    </row>
    <row r="9" spans="1:22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262"/>
      <c r="V9" s="77"/>
    </row>
    <row r="10" spans="1:22" ht="13.5" customHeight="1">
      <c r="A10" s="200" t="s">
        <v>152</v>
      </c>
      <c r="B10" s="83" t="s">
        <v>153</v>
      </c>
      <c r="C10" s="84"/>
      <c r="D10" s="255" t="s">
        <v>81</v>
      </c>
      <c r="E10" s="85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4"/>
    </row>
    <row r="11" spans="1:22" ht="13.5" customHeight="1">
      <c r="A11" s="191"/>
      <c r="B11" s="83"/>
      <c r="C11" s="84"/>
      <c r="D11" s="255"/>
      <c r="E11" s="254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4"/>
      <c r="V11" s="77"/>
    </row>
    <row r="12" spans="1:22" ht="13.5" customHeight="1">
      <c r="A12" s="191"/>
      <c r="B12" s="83"/>
      <c r="C12" s="84"/>
      <c r="D12" s="255" t="s">
        <v>192</v>
      </c>
      <c r="E12" s="254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4"/>
    </row>
    <row r="13" spans="1:22" ht="13.5" customHeight="1">
      <c r="A13" s="191"/>
      <c r="B13" s="83"/>
      <c r="C13" s="84"/>
      <c r="D13" s="255">
        <v>10</v>
      </c>
      <c r="E13" s="253"/>
      <c r="F13" s="263" t="s">
        <v>155</v>
      </c>
      <c r="G13" s="263"/>
      <c r="H13" s="263" t="s">
        <v>155</v>
      </c>
      <c r="I13" s="263"/>
      <c r="J13" s="263"/>
      <c r="K13" s="263"/>
      <c r="L13" s="263" t="s">
        <v>155</v>
      </c>
      <c r="M13" s="263"/>
      <c r="N13" s="263"/>
      <c r="O13" s="263"/>
      <c r="P13" s="263"/>
      <c r="Q13" s="263"/>
      <c r="R13" s="263"/>
      <c r="S13" s="263"/>
      <c r="T13" s="264"/>
    </row>
    <row r="14" spans="1:22" ht="13.5" customHeight="1">
      <c r="A14" s="191"/>
      <c r="B14" s="251"/>
      <c r="C14" s="84"/>
      <c r="D14" s="255">
        <v>0</v>
      </c>
      <c r="E14" s="252"/>
      <c r="F14" s="263"/>
      <c r="G14" s="263" t="s">
        <v>155</v>
      </c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4"/>
    </row>
    <row r="15" spans="1:22" ht="13.5" customHeight="1">
      <c r="A15" s="191"/>
      <c r="B15" s="83"/>
      <c r="C15" s="84"/>
      <c r="D15" s="255">
        <v>1000</v>
      </c>
      <c r="E15" s="252"/>
      <c r="F15" s="263"/>
      <c r="G15" s="263"/>
      <c r="H15" s="263"/>
      <c r="I15" s="263" t="s">
        <v>155</v>
      </c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4"/>
    </row>
    <row r="16" spans="1:22" ht="13.5" customHeight="1">
      <c r="A16" s="191"/>
      <c r="B16" s="83"/>
      <c r="C16" s="84"/>
      <c r="D16" s="255">
        <v>10.5</v>
      </c>
      <c r="E16" s="252"/>
      <c r="F16" s="263"/>
      <c r="G16" s="263"/>
      <c r="H16" s="263"/>
      <c r="I16" s="263"/>
      <c r="J16" s="263" t="s">
        <v>155</v>
      </c>
      <c r="K16" s="263"/>
      <c r="L16" s="263"/>
      <c r="M16" s="263"/>
      <c r="N16" s="263"/>
      <c r="O16" s="263"/>
      <c r="P16" s="263"/>
      <c r="Q16" s="263"/>
      <c r="R16" s="263"/>
      <c r="S16" s="263"/>
      <c r="T16" s="264"/>
    </row>
    <row r="17" spans="1:21" ht="13.5" customHeight="1">
      <c r="A17" s="191"/>
      <c r="B17" s="83"/>
      <c r="C17" s="84"/>
      <c r="D17" s="255">
        <v>-10</v>
      </c>
      <c r="E17" s="252"/>
      <c r="F17" s="263"/>
      <c r="G17" s="263"/>
      <c r="H17" s="263"/>
      <c r="I17" s="263"/>
      <c r="J17" s="263"/>
      <c r="K17" s="289" t="s">
        <v>155</v>
      </c>
      <c r="L17" s="263"/>
      <c r="M17" s="263"/>
      <c r="N17" s="263"/>
      <c r="O17" s="263"/>
      <c r="P17" s="263"/>
      <c r="Q17" s="263"/>
      <c r="R17" s="263"/>
      <c r="S17" s="263"/>
      <c r="T17" s="264"/>
    </row>
    <row r="18" spans="1:21" ht="14.25" customHeight="1">
      <c r="A18" s="191"/>
      <c r="B18" s="83"/>
      <c r="C18" s="84"/>
      <c r="D18" s="255">
        <v>0.01</v>
      </c>
      <c r="E18" s="252"/>
      <c r="F18" s="263"/>
      <c r="G18" s="263"/>
      <c r="H18" s="263"/>
      <c r="I18" s="263"/>
      <c r="J18" s="263"/>
      <c r="K18" s="263"/>
      <c r="L18" s="263"/>
      <c r="M18" s="263" t="s">
        <v>155</v>
      </c>
      <c r="N18" s="263"/>
      <c r="O18" s="263"/>
      <c r="P18" s="263"/>
      <c r="Q18" s="263"/>
      <c r="R18" s="263"/>
      <c r="S18" s="263"/>
      <c r="T18" s="264"/>
    </row>
    <row r="19" spans="1:21" ht="14.25" customHeight="1">
      <c r="A19" s="191"/>
      <c r="B19" s="83"/>
      <c r="C19" s="84"/>
      <c r="D19" s="255" t="s">
        <v>157</v>
      </c>
      <c r="E19" s="252"/>
      <c r="F19" s="263"/>
      <c r="G19" s="263"/>
      <c r="H19" s="263"/>
      <c r="I19" s="263"/>
      <c r="J19" s="263"/>
      <c r="K19" s="263"/>
      <c r="L19" s="263"/>
      <c r="M19" s="263"/>
      <c r="N19" s="263" t="s">
        <v>155</v>
      </c>
      <c r="O19" s="263"/>
      <c r="P19" s="263"/>
      <c r="Q19" s="263"/>
      <c r="R19" s="263"/>
      <c r="S19" s="263"/>
      <c r="T19" s="264"/>
    </row>
    <row r="20" spans="1:21" ht="13.5" customHeight="1">
      <c r="A20" s="191"/>
      <c r="B20" s="83"/>
      <c r="C20" s="84"/>
      <c r="D20" s="255" t="s">
        <v>194</v>
      </c>
      <c r="E20" s="252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4"/>
      <c r="U20" s="265"/>
    </row>
    <row r="21" spans="1:21" ht="13.5" customHeight="1">
      <c r="A21" s="191"/>
      <c r="B21" s="83"/>
      <c r="C21" s="84"/>
      <c r="D21" s="255">
        <v>2</v>
      </c>
      <c r="E21" s="252"/>
      <c r="F21" s="263" t="s">
        <v>155</v>
      </c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4"/>
      <c r="U21" s="265"/>
    </row>
    <row r="22" spans="1:21" ht="13.5" customHeight="1">
      <c r="A22" s="191"/>
      <c r="B22" s="83"/>
      <c r="C22" s="84"/>
      <c r="D22" s="255">
        <v>5</v>
      </c>
      <c r="E22" s="252"/>
      <c r="F22" s="263"/>
      <c r="G22" s="263" t="s">
        <v>155</v>
      </c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4"/>
      <c r="U22" s="265"/>
    </row>
    <row r="23" spans="1:21" ht="13.5" customHeight="1">
      <c r="A23" s="191"/>
      <c r="B23" s="83"/>
      <c r="C23" s="84"/>
      <c r="D23" s="255">
        <v>0</v>
      </c>
      <c r="E23" s="252"/>
      <c r="F23" s="263"/>
      <c r="G23" s="263"/>
      <c r="H23" s="263" t="s">
        <v>155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4"/>
    </row>
    <row r="24" spans="1:21" ht="13.5" customHeight="1">
      <c r="A24" s="191"/>
      <c r="B24" s="83"/>
      <c r="C24" s="84"/>
      <c r="D24" s="506">
        <v>2000</v>
      </c>
      <c r="E24" s="506"/>
      <c r="F24" s="263"/>
      <c r="G24" s="263"/>
      <c r="H24" s="263"/>
      <c r="I24" s="263" t="s">
        <v>155</v>
      </c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4"/>
    </row>
    <row r="25" spans="1:21" ht="13.5" customHeight="1">
      <c r="A25" s="191"/>
      <c r="B25" s="83"/>
      <c r="C25" s="84"/>
      <c r="D25" s="255">
        <v>2</v>
      </c>
      <c r="E25" s="252"/>
      <c r="F25" s="263"/>
      <c r="G25" s="263"/>
      <c r="H25" s="263"/>
      <c r="I25" s="263"/>
      <c r="J25" s="263" t="s">
        <v>155</v>
      </c>
      <c r="K25" s="263" t="s">
        <v>155</v>
      </c>
      <c r="L25" s="263"/>
      <c r="M25" s="263"/>
      <c r="N25" s="263" t="s">
        <v>155</v>
      </c>
      <c r="O25" s="263"/>
      <c r="P25" s="263"/>
      <c r="Q25" s="263"/>
      <c r="R25" s="263"/>
      <c r="S25" s="263"/>
      <c r="T25" s="264"/>
    </row>
    <row r="26" spans="1:21" ht="13.5" customHeight="1">
      <c r="A26" s="191"/>
      <c r="B26" s="83"/>
      <c r="C26" s="84"/>
      <c r="D26" s="255" t="s">
        <v>157</v>
      </c>
      <c r="E26" s="252"/>
      <c r="F26" s="263"/>
      <c r="G26" s="263"/>
      <c r="H26" s="263"/>
      <c r="I26" s="263"/>
      <c r="J26" s="263"/>
      <c r="K26" s="263"/>
      <c r="L26" s="263" t="s">
        <v>155</v>
      </c>
      <c r="M26" s="263"/>
      <c r="N26" s="263"/>
      <c r="O26" s="263"/>
      <c r="P26" s="263"/>
      <c r="Q26" s="263"/>
      <c r="R26" s="263"/>
      <c r="S26" s="263"/>
      <c r="T26" s="264"/>
    </row>
    <row r="27" spans="1:21" ht="13.5" customHeight="1">
      <c r="A27" s="191"/>
      <c r="B27" s="251"/>
      <c r="C27" s="84"/>
      <c r="D27" s="255">
        <v>5.0000000000000001E-3</v>
      </c>
      <c r="E27" s="252"/>
      <c r="F27" s="263"/>
      <c r="G27" s="263"/>
      <c r="H27" s="263"/>
      <c r="I27" s="263"/>
      <c r="J27" s="263"/>
      <c r="K27" s="263"/>
      <c r="L27" s="263"/>
      <c r="M27" s="263" t="s">
        <v>155</v>
      </c>
      <c r="N27" s="263"/>
      <c r="O27" s="263"/>
      <c r="P27" s="263"/>
      <c r="Q27" s="263"/>
      <c r="R27" s="263"/>
      <c r="S27" s="263"/>
      <c r="T27" s="264"/>
    </row>
    <row r="28" spans="1:21" ht="13.5" customHeight="1">
      <c r="A28" s="191"/>
      <c r="B28" s="83"/>
      <c r="C28" s="84"/>
      <c r="D28" s="257"/>
      <c r="E28" s="252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4"/>
    </row>
    <row r="29" spans="1:21" ht="13.5" customHeight="1">
      <c r="A29" s="191"/>
      <c r="B29" s="83"/>
      <c r="C29" s="84"/>
      <c r="D29" s="255"/>
      <c r="E29" s="252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4"/>
    </row>
    <row r="30" spans="1:21" ht="13.5" customHeight="1">
      <c r="A30" s="191"/>
      <c r="B30" s="83"/>
      <c r="C30" s="84"/>
      <c r="D30" s="255"/>
      <c r="E30" s="252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4"/>
    </row>
    <row r="31" spans="1:21" ht="13.5" customHeight="1">
      <c r="A31" s="191"/>
      <c r="B31" s="83"/>
      <c r="C31" s="84"/>
      <c r="D31" s="257"/>
      <c r="E31" s="252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4"/>
    </row>
    <row r="32" spans="1:21" ht="13.5" customHeight="1">
      <c r="A32" s="191"/>
      <c r="B32" s="83"/>
      <c r="C32" s="84"/>
      <c r="D32" s="255"/>
      <c r="E32" s="252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4"/>
    </row>
    <row r="33" spans="1:20" ht="13.5" customHeight="1">
      <c r="A33" s="191"/>
      <c r="B33" s="251"/>
      <c r="C33" s="84"/>
      <c r="D33" s="255"/>
      <c r="E33" s="252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4"/>
    </row>
    <row r="34" spans="1:20" ht="13.5" customHeight="1">
      <c r="A34" s="191"/>
      <c r="B34" s="83"/>
      <c r="C34" s="84"/>
      <c r="D34" s="255"/>
      <c r="E34" s="252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4"/>
    </row>
    <row r="35" spans="1:20" ht="13.5" customHeight="1">
      <c r="A35" s="191"/>
      <c r="B35" s="83"/>
      <c r="C35" s="84"/>
      <c r="D35" s="255"/>
      <c r="E35" s="252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4"/>
    </row>
    <row r="36" spans="1:20" ht="13.5" customHeight="1">
      <c r="A36" s="191"/>
      <c r="B36" s="91"/>
      <c r="C36" s="92"/>
      <c r="D36" s="93"/>
      <c r="E36" s="94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7"/>
    </row>
    <row r="37" spans="1:20" ht="33.75" customHeight="1">
      <c r="A37" s="199" t="s">
        <v>158</v>
      </c>
      <c r="B37" s="268" t="s">
        <v>159</v>
      </c>
      <c r="C37" s="269"/>
      <c r="D37" s="98">
        <v>-20</v>
      </c>
      <c r="E37" s="99"/>
      <c r="F37" s="270"/>
      <c r="G37" s="270"/>
      <c r="H37" s="270"/>
      <c r="I37" s="270"/>
      <c r="J37" s="270"/>
      <c r="K37" s="270" t="s">
        <v>155</v>
      </c>
      <c r="L37" s="270"/>
      <c r="M37" s="270"/>
      <c r="N37" s="270"/>
      <c r="O37" s="270"/>
      <c r="P37" s="270"/>
      <c r="Q37" s="270"/>
      <c r="R37" s="270"/>
      <c r="S37" s="270"/>
      <c r="T37" s="271"/>
    </row>
    <row r="38" spans="1:20" ht="15" customHeight="1">
      <c r="A38" s="198"/>
      <c r="B38" s="148"/>
      <c r="C38" s="272"/>
      <c r="D38" s="258">
        <v>20</v>
      </c>
      <c r="E38" s="104"/>
      <c r="F38" s="263" t="s">
        <v>155</v>
      </c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4"/>
    </row>
    <row r="39" spans="1:20" ht="22.5" customHeight="1">
      <c r="A39" s="198"/>
      <c r="B39" s="148"/>
      <c r="C39" s="272"/>
      <c r="D39" s="259">
        <v>0</v>
      </c>
      <c r="E39" s="104"/>
      <c r="F39" s="263"/>
      <c r="G39" s="263" t="s">
        <v>155</v>
      </c>
      <c r="H39" s="263" t="s">
        <v>155</v>
      </c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4"/>
    </row>
    <row r="40" spans="1:20" ht="13.5" customHeight="1">
      <c r="A40" s="198"/>
      <c r="B40" s="148"/>
      <c r="C40" s="272"/>
      <c r="D40">
        <v>21</v>
      </c>
      <c r="E40" s="104"/>
      <c r="F40" s="263"/>
      <c r="G40" s="263"/>
      <c r="H40" s="263"/>
      <c r="I40" s="263"/>
      <c r="J40" s="263" t="s">
        <v>155</v>
      </c>
      <c r="K40" s="263"/>
      <c r="L40" s="263"/>
      <c r="M40" s="263"/>
      <c r="N40" s="263"/>
      <c r="O40" s="263"/>
      <c r="P40" s="263"/>
      <c r="Q40" s="263"/>
      <c r="R40" s="263"/>
      <c r="S40" s="263"/>
      <c r="T40" s="264"/>
    </row>
    <row r="41" spans="1:20" ht="13.5" customHeight="1">
      <c r="A41" s="198"/>
      <c r="B41" s="148"/>
      <c r="C41" s="272"/>
      <c r="D41" s="103">
        <v>2000000</v>
      </c>
      <c r="E41" s="104"/>
      <c r="F41" s="263"/>
      <c r="G41" s="263"/>
      <c r="H41" s="263"/>
      <c r="I41" s="263" t="s">
        <v>155</v>
      </c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4"/>
    </row>
    <row r="42" spans="1:20" ht="13.5" customHeight="1">
      <c r="A42" s="198"/>
      <c r="B42" s="273"/>
      <c r="C42" s="274"/>
      <c r="D42" s="103">
        <v>5</v>
      </c>
      <c r="E42" s="106"/>
      <c r="F42" s="263"/>
      <c r="G42" s="263"/>
      <c r="H42" s="263"/>
      <c r="I42" s="263"/>
      <c r="J42" s="263"/>
      <c r="K42" s="263"/>
      <c r="L42" s="263"/>
      <c r="M42" s="263" t="s">
        <v>155</v>
      </c>
      <c r="N42" s="263"/>
      <c r="O42" s="263"/>
      <c r="P42" s="263"/>
      <c r="Q42" s="263"/>
      <c r="R42" s="263"/>
      <c r="S42" s="263"/>
      <c r="T42" s="264"/>
    </row>
    <row r="43" spans="1:20" ht="13.5" customHeight="1">
      <c r="A43" s="198"/>
      <c r="B43" s="273" t="s">
        <v>160</v>
      </c>
      <c r="C43" s="274"/>
      <c r="D43" s="103"/>
      <c r="E43" s="106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4"/>
    </row>
    <row r="44" spans="1:20" ht="13.5" customHeight="1">
      <c r="A44" s="198"/>
      <c r="B44" s="273"/>
      <c r="C44" s="274"/>
      <c r="D44" s="103"/>
      <c r="E44" s="106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4"/>
    </row>
    <row r="45" spans="1:20" ht="13.5" customHeight="1">
      <c r="A45" s="198"/>
      <c r="B45" s="273" t="s">
        <v>161</v>
      </c>
      <c r="C45" s="274"/>
      <c r="D45" s="103"/>
      <c r="E45" s="106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4"/>
    </row>
    <row r="46" spans="1:20" ht="13.5" customHeight="1">
      <c r="A46" s="198"/>
      <c r="B46" s="273"/>
      <c r="C46" s="274"/>
      <c r="D46" s="103" t="s">
        <v>189</v>
      </c>
      <c r="E46" s="106"/>
      <c r="F46" s="263"/>
      <c r="G46" s="263"/>
      <c r="H46" s="263"/>
      <c r="I46" s="263"/>
      <c r="J46" s="263"/>
      <c r="K46" s="263"/>
      <c r="L46" s="263" t="s">
        <v>155</v>
      </c>
      <c r="M46" s="263"/>
      <c r="N46" s="263" t="s">
        <v>155</v>
      </c>
      <c r="O46" s="263"/>
      <c r="P46" s="263"/>
      <c r="Q46" s="263"/>
      <c r="R46" s="263"/>
      <c r="S46" s="263"/>
      <c r="T46" s="264"/>
    </row>
    <row r="47" spans="1:20" ht="13.5" customHeight="1">
      <c r="A47" s="198"/>
      <c r="B47" s="275"/>
      <c r="C47" s="276"/>
      <c r="D47" s="184"/>
      <c r="E47" s="185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8"/>
    </row>
    <row r="48" spans="1:20" ht="13.5" customHeight="1">
      <c r="A48" s="199" t="s">
        <v>162</v>
      </c>
      <c r="B48" s="507" t="s">
        <v>163</v>
      </c>
      <c r="C48" s="507"/>
      <c r="D48" s="507"/>
      <c r="E48" s="365"/>
      <c r="F48" s="279" t="s">
        <v>118</v>
      </c>
      <c r="G48" s="279" t="s">
        <v>119</v>
      </c>
      <c r="H48" s="279" t="s">
        <v>119</v>
      </c>
      <c r="I48" s="279" t="s">
        <v>118</v>
      </c>
      <c r="J48" s="279" t="s">
        <v>118</v>
      </c>
      <c r="K48" s="279" t="s">
        <v>62</v>
      </c>
      <c r="L48" s="279" t="s">
        <v>62</v>
      </c>
      <c r="M48" s="279" t="s">
        <v>119</v>
      </c>
      <c r="N48" s="279" t="s">
        <v>62</v>
      </c>
      <c r="O48" s="279"/>
      <c r="P48" s="279"/>
      <c r="Q48" s="279"/>
      <c r="R48" s="279"/>
      <c r="S48" s="279"/>
      <c r="T48" s="280"/>
    </row>
    <row r="49" spans="1:20" ht="57" customHeight="1">
      <c r="A49" s="192"/>
      <c r="B49" s="424" t="s">
        <v>164</v>
      </c>
      <c r="C49" s="424"/>
      <c r="D49" s="424"/>
      <c r="E49" s="108"/>
      <c r="F49" s="281" t="s">
        <v>165</v>
      </c>
      <c r="G49" s="281" t="s">
        <v>165</v>
      </c>
      <c r="H49" s="281" t="s">
        <v>165</v>
      </c>
      <c r="I49" s="281" t="s">
        <v>165</v>
      </c>
      <c r="J49" s="281" t="s">
        <v>165</v>
      </c>
      <c r="K49" s="281" t="s">
        <v>165</v>
      </c>
      <c r="L49" s="281" t="s">
        <v>165</v>
      </c>
      <c r="M49" s="281" t="s">
        <v>165</v>
      </c>
      <c r="N49" s="281" t="s">
        <v>165</v>
      </c>
      <c r="O49" s="281"/>
      <c r="P49" s="281"/>
      <c r="Q49" s="281"/>
      <c r="R49" s="281"/>
      <c r="S49" s="281"/>
      <c r="T49" s="282"/>
    </row>
    <row r="50" spans="1:20" ht="54">
      <c r="A50" s="192"/>
      <c r="B50" s="406" t="s">
        <v>166</v>
      </c>
      <c r="C50" s="406"/>
      <c r="D50" s="406"/>
      <c r="E50" s="109"/>
      <c r="F50" s="110">
        <v>46103</v>
      </c>
      <c r="G50" s="110">
        <v>46103</v>
      </c>
      <c r="H50" s="110">
        <v>46103</v>
      </c>
      <c r="I50" s="110">
        <v>46103</v>
      </c>
      <c r="J50" s="110">
        <v>46103</v>
      </c>
      <c r="K50" s="110">
        <v>46103</v>
      </c>
      <c r="L50" s="110">
        <v>46103</v>
      </c>
      <c r="M50" s="110">
        <v>46103</v>
      </c>
      <c r="N50" s="110">
        <v>46103</v>
      </c>
      <c r="O50" s="110"/>
      <c r="P50" s="110"/>
      <c r="Q50" s="110"/>
      <c r="R50" s="110"/>
      <c r="S50" s="110"/>
      <c r="T50" s="193"/>
    </row>
    <row r="51" spans="1:20" ht="10.5">
      <c r="A51" s="194"/>
      <c r="B51" s="409" t="s">
        <v>167</v>
      </c>
      <c r="C51" s="409"/>
      <c r="D51" s="409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7"/>
    </row>
    <row r="52" spans="1:20" ht="13.5" customHeight="1">
      <c r="A52" s="79"/>
      <c r="B52" s="75"/>
      <c r="C52" s="364"/>
      <c r="D52" s="75"/>
    </row>
    <row r="53" spans="1:20" ht="13.5" customHeight="1">
      <c r="D53" s="364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4:E24"/>
    <mergeCell ref="B48:D48"/>
    <mergeCell ref="B49:D49"/>
    <mergeCell ref="B50:D50"/>
    <mergeCell ref="B51:D51"/>
  </mergeCells>
  <phoneticPr fontId="44"/>
  <dataValidations count="3">
    <dataValidation type="list" allowBlank="1" showInputMessage="1" showErrorMessage="1" sqref="F49:T49" xr:uid="{6D757FEA-D531-4866-800D-9E8A51F3C8B5}">
      <formula1>"P,F, "</formula1>
    </dataValidation>
    <dataValidation type="list" allowBlank="1" showInputMessage="1" showErrorMessage="1" sqref="F48:T48" xr:uid="{A1ED6EC6-A2AE-4602-9B4E-EBB7A9EBA9FF}">
      <formula1>"N,A,B, "</formula1>
    </dataValidation>
    <dataValidation type="list" allowBlank="1" showInputMessage="1" showErrorMessage="1" sqref="F10:T47" xr:uid="{A80A159E-778F-44AB-8B1A-81BA8EA2C502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8B89-C560-4A5F-8F16-44F5BCB9234E}">
  <dimension ref="A1:W52"/>
  <sheetViews>
    <sheetView workbookViewId="0">
      <selection activeCell="F31" sqref="F31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76" customWidth="1"/>
    <col min="5" max="5" width="1.85546875" style="75" hidden="1" customWidth="1"/>
    <col min="6" max="6" width="4" style="75" customWidth="1"/>
    <col min="7" max="7" width="3.28515625" style="75" customWidth="1"/>
    <col min="8" max="8" width="6.7109375" style="75" customWidth="1"/>
    <col min="9" max="9" width="4.28515625" style="75" customWidth="1"/>
    <col min="10" max="11" width="4.140625" style="75" customWidth="1"/>
    <col min="12" max="12" width="3.7109375" style="75" customWidth="1"/>
    <col min="13" max="19" width="2.85546875" style="75" customWidth="1"/>
    <col min="20" max="20" width="2.85546875" style="75" bestFit="1" customWidth="1"/>
    <col min="21" max="21" width="2.85546875" style="75" customWidth="1"/>
    <col min="22" max="16384" width="9" style="75"/>
  </cols>
  <sheetData>
    <row r="1" spans="1:23" ht="13.5" customHeight="1">
      <c r="A1" s="73"/>
      <c r="B1" s="74"/>
      <c r="D1" s="364"/>
    </row>
    <row r="2" spans="1:23" ht="13.5" customHeight="1">
      <c r="A2" s="508" t="s">
        <v>129</v>
      </c>
      <c r="B2" s="509"/>
      <c r="C2" s="510" t="s">
        <v>195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195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3" ht="13.5" customHeight="1">
      <c r="A3" s="418" t="s">
        <v>130</v>
      </c>
      <c r="B3" s="419"/>
      <c r="C3" s="413" t="s">
        <v>196</v>
      </c>
      <c r="D3" s="414"/>
      <c r="E3" s="415"/>
      <c r="F3" s="449" t="s">
        <v>132</v>
      </c>
      <c r="G3" s="450"/>
      <c r="H3" s="450"/>
      <c r="I3" s="450"/>
      <c r="J3" s="450"/>
      <c r="K3" s="451"/>
      <c r="L3" s="520" t="s">
        <v>196</v>
      </c>
      <c r="M3" s="521"/>
      <c r="N3" s="521"/>
      <c r="O3" s="521"/>
      <c r="P3" s="521"/>
      <c r="Q3" s="521"/>
      <c r="R3" s="521"/>
      <c r="S3" s="521"/>
      <c r="T3" s="522"/>
    </row>
    <row r="4" spans="1:23" ht="13.5" customHeight="1">
      <c r="A4" s="418" t="s">
        <v>133</v>
      </c>
      <c r="B4" s="419"/>
      <c r="C4" s="420">
        <v>3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-14.73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3" ht="13.5" customHeight="1">
      <c r="A5" s="418" t="s">
        <v>135</v>
      </c>
      <c r="B5" s="419"/>
      <c r="C5" s="454" t="s">
        <v>103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3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3" ht="13.5" customHeight="1">
      <c r="A7" s="407">
        <f>COUNTIF(F44:HQ47,"P")</f>
        <v>14</v>
      </c>
      <c r="B7" s="408"/>
      <c r="C7" s="452">
        <f>COUNTIF(F44:HQ47,"F")</f>
        <v>0</v>
      </c>
      <c r="D7" s="428"/>
      <c r="E7" s="408"/>
      <c r="F7" s="452">
        <f>SUM(O7,- A7,- C7)</f>
        <v>1</v>
      </c>
      <c r="G7" s="428"/>
      <c r="H7" s="428"/>
      <c r="I7" s="428"/>
      <c r="J7" s="428"/>
      <c r="K7" s="453"/>
      <c r="L7" s="173">
        <f>COUNTIF(E43:HQ46,"N")</f>
        <v>5</v>
      </c>
      <c r="M7" s="173">
        <f>COUNTIF(E43:HQ46,"A")</f>
        <v>5</v>
      </c>
      <c r="N7" s="173">
        <f>COUNTIF(E43:HQ46,"B")</f>
        <v>4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3" ht="10.5">
      <c r="D8" s="364"/>
    </row>
    <row r="9" spans="1:23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80"/>
      <c r="V9" s="81"/>
      <c r="W9" s="82"/>
    </row>
    <row r="10" spans="1:23" ht="13.5" customHeight="1">
      <c r="A10" s="200" t="s">
        <v>152</v>
      </c>
      <c r="B10" s="83" t="s">
        <v>153</v>
      </c>
      <c r="C10" s="84"/>
      <c r="D10" s="255" t="s">
        <v>197</v>
      </c>
      <c r="E10" s="85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208"/>
    </row>
    <row r="11" spans="1:23" ht="13.5" customHeight="1">
      <c r="A11" s="191"/>
      <c r="B11" s="83"/>
      <c r="C11" s="84"/>
      <c r="D11" s="255"/>
      <c r="E11" s="87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208"/>
      <c r="V11" s="77"/>
    </row>
    <row r="12" spans="1:23" ht="13.5" customHeight="1">
      <c r="A12" s="191"/>
      <c r="B12" s="83" t="s">
        <v>186</v>
      </c>
      <c r="C12" s="84"/>
      <c r="D12" s="255"/>
      <c r="E12" s="87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208"/>
    </row>
    <row r="13" spans="1:23" ht="13.5" customHeight="1">
      <c r="A13" s="191"/>
      <c r="B13" s="83"/>
      <c r="C13" s="84"/>
      <c r="D13" s="255">
        <v>-1</v>
      </c>
      <c r="E13" s="88"/>
      <c r="F13" s="86"/>
      <c r="G13" s="86"/>
      <c r="H13" s="86"/>
      <c r="I13" s="86"/>
      <c r="J13" s="86"/>
      <c r="K13" s="86"/>
      <c r="L13" s="86"/>
      <c r="M13" s="283" t="s">
        <v>155</v>
      </c>
      <c r="N13" s="86"/>
      <c r="O13" s="283" t="s">
        <v>155</v>
      </c>
      <c r="P13" s="86"/>
      <c r="Q13" s="86"/>
      <c r="R13" s="283" t="s">
        <v>155</v>
      </c>
      <c r="S13" s="86"/>
      <c r="T13" s="208"/>
    </row>
    <row r="14" spans="1:23" ht="13.5" customHeight="1">
      <c r="A14" s="191"/>
      <c r="B14" s="251"/>
      <c r="C14" s="84"/>
      <c r="D14" s="255">
        <v>0</v>
      </c>
      <c r="E14" s="89"/>
      <c r="F14" s="86"/>
      <c r="G14" s="86"/>
      <c r="H14" s="86"/>
      <c r="I14" s="86"/>
      <c r="J14" s="86" t="s">
        <v>155</v>
      </c>
      <c r="K14" s="86"/>
      <c r="L14" s="86" t="s">
        <v>155</v>
      </c>
      <c r="M14" s="86"/>
      <c r="N14" s="86"/>
      <c r="O14" s="86"/>
      <c r="P14" s="86"/>
      <c r="Q14" s="86"/>
      <c r="R14" s="86"/>
      <c r="S14" s="86"/>
      <c r="T14" s="208"/>
    </row>
    <row r="15" spans="1:23" ht="13.5" customHeight="1">
      <c r="A15" s="191"/>
      <c r="B15" s="83"/>
      <c r="C15" s="84"/>
      <c r="D15" s="255">
        <v>1</v>
      </c>
      <c r="E15" s="89"/>
      <c r="F15" s="86" t="s">
        <v>155</v>
      </c>
      <c r="G15" s="86" t="s">
        <v>155</v>
      </c>
      <c r="H15" s="86"/>
      <c r="I15" s="86"/>
      <c r="J15" s="86"/>
      <c r="K15" s="86"/>
      <c r="L15" s="86"/>
      <c r="M15" s="86"/>
      <c r="N15" s="86"/>
      <c r="O15" s="86"/>
      <c r="P15" s="86"/>
      <c r="Q15" s="86" t="s">
        <v>155</v>
      </c>
      <c r="R15" s="86"/>
      <c r="S15" s="86"/>
      <c r="T15" s="208"/>
    </row>
    <row r="16" spans="1:23" ht="13.5" customHeight="1">
      <c r="A16" s="191"/>
      <c r="B16" s="83"/>
      <c r="C16" s="84"/>
      <c r="D16" s="255">
        <v>10</v>
      </c>
      <c r="E16" s="89"/>
      <c r="F16" s="86"/>
      <c r="G16" s="86"/>
      <c r="H16" s="86" t="s">
        <v>155</v>
      </c>
      <c r="I16" s="86" t="s">
        <v>155</v>
      </c>
      <c r="J16" s="86"/>
      <c r="K16" s="86" t="s">
        <v>155</v>
      </c>
      <c r="L16" s="86"/>
      <c r="M16" s="86"/>
      <c r="N16" s="86" t="s">
        <v>155</v>
      </c>
      <c r="O16" s="86"/>
      <c r="P16" s="86"/>
      <c r="Q16" s="86"/>
      <c r="R16" s="86"/>
      <c r="S16" s="86"/>
      <c r="T16" s="208"/>
    </row>
    <row r="17" spans="1:21" ht="13.5" customHeight="1">
      <c r="A17" s="191"/>
      <c r="B17" s="83"/>
      <c r="C17" s="84"/>
      <c r="D17" s="255">
        <v>100</v>
      </c>
      <c r="E17" s="89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 t="s">
        <v>155</v>
      </c>
      <c r="Q17" s="86"/>
      <c r="R17" s="86"/>
      <c r="S17" s="86" t="s">
        <v>155</v>
      </c>
      <c r="T17" s="208"/>
      <c r="U17" s="90"/>
    </row>
    <row r="18" spans="1:21" ht="13.5" customHeight="1">
      <c r="A18" s="191"/>
      <c r="B18" s="83"/>
      <c r="C18" s="84"/>
      <c r="D18" s="255"/>
      <c r="E18" s="89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208"/>
      <c r="U18" s="90"/>
    </row>
    <row r="19" spans="1:21" ht="13.5" customHeight="1">
      <c r="A19" s="191"/>
      <c r="B19" s="83"/>
      <c r="C19" s="84"/>
      <c r="D19" s="255"/>
      <c r="E19" s="89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208"/>
      <c r="U19" s="90"/>
    </row>
    <row r="20" spans="1:21" ht="13.5" customHeight="1">
      <c r="A20" s="191"/>
      <c r="B20" s="83" t="s">
        <v>194</v>
      </c>
      <c r="C20" s="84"/>
      <c r="D20" s="518"/>
      <c r="E20" s="518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208"/>
    </row>
    <row r="21" spans="1:21" ht="13.5" customHeight="1">
      <c r="A21" s="191"/>
      <c r="B21" s="83"/>
      <c r="C21" s="84"/>
      <c r="D21" s="255">
        <v>-150</v>
      </c>
      <c r="E21" s="89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208"/>
    </row>
    <row r="22" spans="1:21" ht="13.5" customHeight="1">
      <c r="A22" s="191"/>
      <c r="B22" s="83"/>
      <c r="C22" s="84"/>
      <c r="D22" s="255">
        <v>-50</v>
      </c>
      <c r="E22" s="89"/>
      <c r="F22" s="86"/>
      <c r="G22" s="86"/>
      <c r="H22" s="86"/>
      <c r="I22" s="86"/>
      <c r="J22" s="86"/>
      <c r="K22" s="86"/>
      <c r="L22" s="86"/>
      <c r="M22" s="86"/>
      <c r="N22" s="283" t="s">
        <v>155</v>
      </c>
      <c r="O22" s="283" t="s">
        <v>155</v>
      </c>
      <c r="P22" s="86"/>
      <c r="Q22" s="86"/>
      <c r="R22" s="86"/>
      <c r="S22" s="86"/>
      <c r="T22" s="208"/>
    </row>
    <row r="23" spans="1:21" ht="13.5" customHeight="1">
      <c r="A23" s="191"/>
      <c r="B23" s="251"/>
      <c r="C23" s="84"/>
      <c r="D23" s="255">
        <v>-5</v>
      </c>
      <c r="E23" s="89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283" t="s">
        <v>155</v>
      </c>
      <c r="R23" s="86"/>
      <c r="S23" s="86"/>
      <c r="T23" s="208"/>
    </row>
    <row r="24" spans="1:21" ht="13.5" customHeight="1">
      <c r="A24" s="191"/>
      <c r="B24" s="83"/>
      <c r="C24" s="84"/>
      <c r="D24" s="257">
        <v>0</v>
      </c>
      <c r="E24" s="89"/>
      <c r="F24" s="86"/>
      <c r="G24" s="86"/>
      <c r="H24" s="86"/>
      <c r="I24" s="86"/>
      <c r="J24" s="86"/>
      <c r="K24" s="86" t="s">
        <v>155</v>
      </c>
      <c r="L24" s="86" t="s">
        <v>155</v>
      </c>
      <c r="M24" s="86"/>
      <c r="N24" s="86"/>
      <c r="O24" s="86"/>
      <c r="P24" s="86"/>
      <c r="Q24" s="86"/>
      <c r="R24" s="86"/>
      <c r="S24" s="86" t="s">
        <v>155</v>
      </c>
      <c r="T24" s="208"/>
    </row>
    <row r="25" spans="1:21" ht="13.5" customHeight="1">
      <c r="A25" s="191"/>
      <c r="B25" s="83"/>
      <c r="C25" s="84"/>
      <c r="D25" s="255">
        <v>10</v>
      </c>
      <c r="E25" s="89"/>
      <c r="F25" s="86" t="s">
        <v>155</v>
      </c>
      <c r="G25" s="86"/>
      <c r="H25" s="86" t="s">
        <v>155</v>
      </c>
      <c r="I25" s="86"/>
      <c r="J25" s="86"/>
      <c r="K25" s="86"/>
      <c r="L25" s="86"/>
      <c r="M25" s="86"/>
      <c r="N25" s="86"/>
      <c r="O25" s="86"/>
      <c r="P25" s="86"/>
      <c r="Q25" s="86"/>
      <c r="R25" s="86" t="s">
        <v>155</v>
      </c>
      <c r="S25" s="86"/>
      <c r="T25" s="208"/>
    </row>
    <row r="26" spans="1:21" ht="13.5" customHeight="1">
      <c r="A26" s="191"/>
      <c r="B26" s="83"/>
      <c r="C26" s="84"/>
      <c r="D26" s="255">
        <v>100</v>
      </c>
      <c r="E26" s="89"/>
      <c r="F26" s="86"/>
      <c r="G26" s="86" t="s">
        <v>155</v>
      </c>
      <c r="H26" s="86"/>
      <c r="I26" s="86" t="s">
        <v>155</v>
      </c>
      <c r="J26" s="86" t="s">
        <v>155</v>
      </c>
      <c r="K26" s="86"/>
      <c r="L26" s="86"/>
      <c r="M26" s="86" t="s">
        <v>155</v>
      </c>
      <c r="N26" s="86"/>
      <c r="O26" s="86"/>
      <c r="P26" s="86"/>
      <c r="Q26" s="86"/>
      <c r="R26" s="86"/>
      <c r="S26" s="86"/>
      <c r="T26" s="208"/>
    </row>
    <row r="27" spans="1:21" ht="13.5" customHeight="1">
      <c r="A27" s="191"/>
      <c r="B27" s="83"/>
      <c r="C27" s="84"/>
      <c r="D27" s="257">
        <v>150</v>
      </c>
      <c r="E27" s="89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 t="s">
        <v>155</v>
      </c>
      <c r="Q27" s="86"/>
      <c r="R27" s="86"/>
      <c r="S27" s="86"/>
      <c r="T27" s="208"/>
    </row>
    <row r="28" spans="1:21" ht="13.5" customHeight="1">
      <c r="A28" s="191"/>
      <c r="B28" s="83"/>
      <c r="C28" s="84"/>
      <c r="D28" s="255"/>
      <c r="E28" s="89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208"/>
    </row>
    <row r="29" spans="1:21" ht="13.5" customHeight="1">
      <c r="A29" s="199" t="s">
        <v>158</v>
      </c>
      <c r="B29" s="96" t="s">
        <v>159</v>
      </c>
      <c r="C29" s="97"/>
      <c r="D29" s="98"/>
      <c r="E29" s="99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210"/>
    </row>
    <row r="30" spans="1:21" ht="14.25" customHeight="1">
      <c r="A30" s="198"/>
      <c r="B30" s="148"/>
      <c r="C30" s="102"/>
      <c r="D30" s="258">
        <v>-500</v>
      </c>
      <c r="E30" s="104"/>
      <c r="F30" s="86"/>
      <c r="G30" s="86"/>
      <c r="H30" s="86"/>
      <c r="I30" s="86"/>
      <c r="J30" s="86"/>
      <c r="K30" s="86"/>
      <c r="L30" s="86"/>
      <c r="M30" s="86"/>
      <c r="N30" s="283" t="s">
        <v>155</v>
      </c>
      <c r="O30" s="86"/>
      <c r="P30" s="86"/>
      <c r="Q30" s="86"/>
      <c r="R30" s="86"/>
      <c r="S30" s="86"/>
      <c r="T30" s="208"/>
    </row>
    <row r="31" spans="1:21" ht="15" customHeight="1">
      <c r="A31" s="198"/>
      <c r="B31" s="148"/>
      <c r="C31" s="102"/>
      <c r="D31" s="259">
        <v>-100</v>
      </c>
      <c r="E31" s="104"/>
      <c r="F31" s="86"/>
      <c r="G31" s="86"/>
      <c r="H31" s="86"/>
      <c r="I31" s="86"/>
      <c r="J31" s="86"/>
      <c r="K31" s="86"/>
      <c r="L31" s="86"/>
      <c r="M31" s="283" t="s">
        <v>155</v>
      </c>
      <c r="N31" s="86"/>
      <c r="O31" s="86"/>
      <c r="P31" s="86"/>
      <c r="Q31" s="86"/>
      <c r="R31" s="86"/>
      <c r="S31" s="86"/>
      <c r="T31" s="208"/>
    </row>
    <row r="32" spans="1:21" ht="13.5" customHeight="1">
      <c r="A32" s="198"/>
      <c r="B32" s="148"/>
      <c r="C32" s="102"/>
      <c r="D32" s="258">
        <v>-10</v>
      </c>
      <c r="E32" s="104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283" t="s">
        <v>155</v>
      </c>
      <c r="S32" s="86"/>
      <c r="T32" s="208"/>
    </row>
    <row r="33" spans="1:20" ht="13.5" customHeight="1">
      <c r="A33" s="198"/>
      <c r="B33" s="148"/>
      <c r="C33" s="102"/>
      <c r="D33" s="103">
        <v>-5</v>
      </c>
      <c r="E33" s="104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283" t="s">
        <v>155</v>
      </c>
      <c r="R33" s="86"/>
      <c r="S33" s="86"/>
      <c r="T33" s="208"/>
    </row>
    <row r="34" spans="1:20" ht="13.5" customHeight="1">
      <c r="A34" s="198"/>
      <c r="B34" s="148"/>
      <c r="C34" s="102"/>
      <c r="D34" s="103">
        <v>0</v>
      </c>
      <c r="E34" s="104"/>
      <c r="F34" s="86"/>
      <c r="G34" s="86"/>
      <c r="H34" s="86"/>
      <c r="I34" s="86"/>
      <c r="J34" s="86" t="s">
        <v>155</v>
      </c>
      <c r="K34" s="86" t="s">
        <v>155</v>
      </c>
      <c r="L34" s="86" t="s">
        <v>155</v>
      </c>
      <c r="M34" s="86"/>
      <c r="N34" s="86"/>
      <c r="O34" s="86"/>
      <c r="P34" s="86"/>
      <c r="Q34" s="86"/>
      <c r="R34" s="86"/>
      <c r="S34" s="86" t="s">
        <v>155</v>
      </c>
      <c r="T34" s="208"/>
    </row>
    <row r="35" spans="1:20" ht="13.5" customHeight="1">
      <c r="A35" s="198"/>
      <c r="B35" s="148"/>
      <c r="C35" s="102"/>
      <c r="D35" s="103">
        <v>10</v>
      </c>
      <c r="E35" s="104"/>
      <c r="F35" s="86" t="s">
        <v>155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208"/>
    </row>
    <row r="36" spans="1:20" ht="13.5" customHeight="1">
      <c r="A36" s="198"/>
      <c r="B36" s="101"/>
      <c r="C36" s="105"/>
      <c r="D36" s="103">
        <v>50</v>
      </c>
      <c r="E36" s="106"/>
      <c r="F36" s="86"/>
      <c r="G36" s="86"/>
      <c r="H36" s="86"/>
      <c r="I36" s="86"/>
      <c r="J36" s="86"/>
      <c r="K36" s="86"/>
      <c r="L36" s="86"/>
      <c r="M36" s="86"/>
      <c r="N36" s="86"/>
      <c r="O36" s="86" t="s">
        <v>155</v>
      </c>
      <c r="P36" s="86"/>
      <c r="Q36" s="86"/>
      <c r="R36" s="86"/>
      <c r="S36" s="86"/>
      <c r="T36" s="208"/>
    </row>
    <row r="37" spans="1:20" ht="13.5" customHeight="1">
      <c r="A37" s="198"/>
      <c r="B37" s="101"/>
      <c r="C37" s="105"/>
      <c r="D37" s="103">
        <v>100</v>
      </c>
      <c r="E37" s="106"/>
      <c r="F37" s="86"/>
      <c r="G37" s="86" t="s">
        <v>155</v>
      </c>
      <c r="H37" s="86" t="s">
        <v>155</v>
      </c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208"/>
    </row>
    <row r="38" spans="1:20" ht="13.5" customHeight="1">
      <c r="A38" s="198"/>
      <c r="B38" s="101"/>
      <c r="C38" s="105"/>
      <c r="D38" s="103">
        <v>1000</v>
      </c>
      <c r="E38" s="106"/>
      <c r="F38" s="86"/>
      <c r="G38" s="86"/>
      <c r="H38" s="86"/>
      <c r="I38" s="86" t="s">
        <v>155</v>
      </c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208"/>
    </row>
    <row r="39" spans="1:20" ht="13.5" customHeight="1">
      <c r="A39" s="198"/>
      <c r="B39" s="101"/>
      <c r="C39" s="105"/>
      <c r="D39" s="103">
        <v>15000</v>
      </c>
      <c r="E39" s="10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 t="s">
        <v>155</v>
      </c>
      <c r="Q39" s="86"/>
      <c r="R39" s="86"/>
      <c r="S39" s="86"/>
      <c r="T39" s="208"/>
    </row>
    <row r="40" spans="1:20" ht="13.5" customHeight="1">
      <c r="A40" s="198"/>
      <c r="B40" s="101"/>
      <c r="C40" s="105"/>
      <c r="D40" s="103"/>
      <c r="E40" s="10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208"/>
    </row>
    <row r="41" spans="1:20" ht="13.5" customHeight="1">
      <c r="A41" s="198"/>
      <c r="B41" s="101" t="s">
        <v>160</v>
      </c>
      <c r="C41" s="105"/>
      <c r="D41" s="103"/>
      <c r="E41" s="10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208"/>
    </row>
    <row r="42" spans="1:20" ht="13.5" customHeight="1">
      <c r="A42" s="198"/>
      <c r="B42" s="101"/>
      <c r="C42" s="105"/>
      <c r="D42" s="103"/>
      <c r="E42" s="10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208"/>
    </row>
    <row r="43" spans="1:20" ht="13.5" customHeight="1">
      <c r="A43" s="198"/>
      <c r="B43" s="101" t="s">
        <v>161</v>
      </c>
      <c r="C43" s="105"/>
      <c r="D43" s="103"/>
      <c r="E43" s="10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208"/>
    </row>
    <row r="44" spans="1:20" ht="13.5" customHeight="1">
      <c r="A44" s="198"/>
      <c r="B44" s="101"/>
      <c r="C44" s="105"/>
      <c r="D44" s="103"/>
      <c r="E44" s="10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208"/>
    </row>
    <row r="45" spans="1:20" ht="16.5">
      <c r="A45" s="198"/>
      <c r="B45" s="182"/>
      <c r="C45" s="183"/>
      <c r="D45" s="184"/>
      <c r="E45" s="185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11"/>
    </row>
    <row r="46" spans="1:20" ht="11.25">
      <c r="A46" s="198"/>
      <c r="B46" s="519" t="s">
        <v>163</v>
      </c>
      <c r="C46" s="519"/>
      <c r="D46" s="519"/>
      <c r="E46" s="367"/>
      <c r="F46" s="202" t="s">
        <v>118</v>
      </c>
      <c r="G46" s="202" t="s">
        <v>118</v>
      </c>
      <c r="H46" s="202" t="s">
        <v>118</v>
      </c>
      <c r="I46" s="202" t="s">
        <v>118</v>
      </c>
      <c r="J46" s="202" t="s">
        <v>119</v>
      </c>
      <c r="K46" s="202" t="s">
        <v>119</v>
      </c>
      <c r="L46" s="202" t="s">
        <v>119</v>
      </c>
      <c r="M46" s="202" t="s">
        <v>62</v>
      </c>
      <c r="N46" s="202" t="s">
        <v>62</v>
      </c>
      <c r="O46" s="202" t="s">
        <v>62</v>
      </c>
      <c r="P46" s="202" t="s">
        <v>118</v>
      </c>
      <c r="Q46" s="202" t="s">
        <v>62</v>
      </c>
      <c r="R46" s="202" t="s">
        <v>62</v>
      </c>
      <c r="S46" s="202" t="s">
        <v>119</v>
      </c>
      <c r="T46" s="212"/>
    </row>
    <row r="47" spans="1:20" ht="13.5" customHeight="1">
      <c r="A47" s="198"/>
      <c r="B47" s="424" t="s">
        <v>164</v>
      </c>
      <c r="C47" s="424"/>
      <c r="D47" s="424"/>
      <c r="E47" s="108"/>
      <c r="F47" s="107" t="s">
        <v>165</v>
      </c>
      <c r="G47" s="107" t="s">
        <v>165</v>
      </c>
      <c r="H47" s="107" t="s">
        <v>165</v>
      </c>
      <c r="I47" s="107" t="s">
        <v>165</v>
      </c>
      <c r="J47" s="107" t="s">
        <v>165</v>
      </c>
      <c r="K47" s="107" t="s">
        <v>165</v>
      </c>
      <c r="L47" s="107" t="s">
        <v>165</v>
      </c>
      <c r="M47" s="107" t="s">
        <v>165</v>
      </c>
      <c r="N47" s="107" t="s">
        <v>165</v>
      </c>
      <c r="O47" s="107" t="s">
        <v>165</v>
      </c>
      <c r="P47" s="107" t="s">
        <v>165</v>
      </c>
      <c r="Q47" s="107" t="s">
        <v>165</v>
      </c>
      <c r="R47" s="107" t="s">
        <v>165</v>
      </c>
      <c r="S47" s="107" t="s">
        <v>165</v>
      </c>
      <c r="T47" s="213"/>
    </row>
    <row r="48" spans="1:20" ht="55.5" customHeight="1">
      <c r="A48" s="199" t="s">
        <v>162</v>
      </c>
      <c r="B48" s="406" t="s">
        <v>166</v>
      </c>
      <c r="C48" s="406"/>
      <c r="D48" s="406"/>
      <c r="E48" s="109"/>
      <c r="F48" s="110">
        <v>46104</v>
      </c>
      <c r="G48" s="110">
        <v>46104</v>
      </c>
      <c r="H48" s="110">
        <v>46104</v>
      </c>
      <c r="I48" s="110">
        <v>46104</v>
      </c>
      <c r="J48" s="110">
        <v>46104</v>
      </c>
      <c r="K48" s="110">
        <v>46104</v>
      </c>
      <c r="L48" s="110">
        <v>46104</v>
      </c>
      <c r="M48" s="110">
        <v>46104</v>
      </c>
      <c r="N48" s="110">
        <v>46104</v>
      </c>
      <c r="O48" s="110">
        <v>46104</v>
      </c>
      <c r="P48" s="110">
        <v>46104</v>
      </c>
      <c r="Q48" s="110">
        <v>46104</v>
      </c>
      <c r="R48" s="110">
        <v>46104</v>
      </c>
      <c r="S48" s="110">
        <v>46104</v>
      </c>
      <c r="T48" s="193"/>
    </row>
    <row r="49" spans="1:20" ht="13.5" customHeight="1">
      <c r="A49" s="192"/>
      <c r="B49" s="409" t="s">
        <v>167</v>
      </c>
      <c r="C49" s="409"/>
      <c r="D49" s="409"/>
      <c r="E49" s="195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7"/>
    </row>
    <row r="50" spans="1:20" ht="13.5" customHeight="1">
      <c r="A50" s="192"/>
      <c r="B50" s="75"/>
      <c r="C50" s="364"/>
      <c r="D50" s="75"/>
    </row>
    <row r="51" spans="1:20" ht="13.5" customHeight="1">
      <c r="A51" s="194"/>
      <c r="D51" s="364"/>
    </row>
    <row r="52" spans="1:20" ht="13.5" customHeight="1">
      <c r="A52" s="79"/>
      <c r="D52" s="364"/>
    </row>
  </sheetData>
  <mergeCells count="28">
    <mergeCell ref="D20:E20"/>
    <mergeCell ref="B46:D46"/>
    <mergeCell ref="B47:D47"/>
    <mergeCell ref="B48:D48"/>
    <mergeCell ref="B49:D49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T3"/>
  </mergeCells>
  <phoneticPr fontId="44"/>
  <dataValidations count="3">
    <dataValidation type="list" allowBlank="1" showInputMessage="1" showErrorMessage="1" sqref="F46:T46" xr:uid="{5D288ABB-E9F8-4AB9-83C7-BA30A0044E5A}">
      <formula1>"N,A,B, "</formula1>
    </dataValidation>
    <dataValidation type="list" allowBlank="1" showInputMessage="1" showErrorMessage="1" sqref="F47:T47" xr:uid="{27454FCC-C1A0-4069-BDA9-3F57FC908875}">
      <formula1>"P,F, "</formula1>
    </dataValidation>
    <dataValidation type="list" allowBlank="1" showInputMessage="1" showErrorMessage="1" sqref="F10:T45" xr:uid="{9440A393-9037-40E2-9BB6-0006B39C4592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D0D-FA8E-429C-8620-947F35DAB6DF}">
  <dimension ref="A1:V47"/>
  <sheetViews>
    <sheetView workbookViewId="0">
      <selection activeCell="AD37" sqref="AD37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334" customWidth="1"/>
    <col min="5" max="5" width="1.85546875" style="75" hidden="1" customWidth="1"/>
    <col min="6" max="6" width="4" style="75" customWidth="1"/>
    <col min="7" max="7" width="3.28515625" style="75" customWidth="1"/>
    <col min="8" max="8" width="5.28515625" style="75" customWidth="1"/>
    <col min="9" max="9" width="4.28515625" style="75" customWidth="1"/>
    <col min="10" max="11" width="4.140625" style="75" customWidth="1"/>
    <col min="12" max="12" width="3.7109375" style="75" customWidth="1"/>
    <col min="13" max="19" width="2.85546875" style="75" customWidth="1"/>
    <col min="20" max="20" width="4.140625" style="75" customWidth="1"/>
    <col min="21" max="21" width="2.85546875" style="75" customWidth="1"/>
    <col min="22" max="16384" width="9" style="75"/>
  </cols>
  <sheetData>
    <row r="1" spans="1:22" ht="13.5" customHeight="1">
      <c r="A1" s="73"/>
      <c r="B1" s="74"/>
      <c r="D1" s="364"/>
    </row>
    <row r="2" spans="1:22" ht="13.5" customHeight="1">
      <c r="A2" s="508" t="s">
        <v>129</v>
      </c>
      <c r="B2" s="509"/>
      <c r="C2" s="510" t="s">
        <v>105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105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2" ht="13.5" customHeight="1">
      <c r="A3" s="418" t="s">
        <v>130</v>
      </c>
      <c r="B3" s="419"/>
      <c r="C3" s="413" t="s">
        <v>196</v>
      </c>
      <c r="D3" s="414"/>
      <c r="E3" s="415"/>
      <c r="F3" s="449" t="s">
        <v>132</v>
      </c>
      <c r="G3" s="450"/>
      <c r="H3" s="450"/>
      <c r="I3" s="450"/>
      <c r="J3" s="450"/>
      <c r="K3" s="451"/>
      <c r="L3" s="520" t="s">
        <v>196</v>
      </c>
      <c r="M3" s="521"/>
      <c r="N3" s="521"/>
      <c r="O3" s="521"/>
      <c r="P3" s="521"/>
      <c r="Q3" s="521"/>
      <c r="R3" s="521"/>
      <c r="S3" s="521"/>
      <c r="T3" s="522"/>
    </row>
    <row r="4" spans="1:22" ht="13.5" customHeight="1">
      <c r="A4" s="418" t="s">
        <v>133</v>
      </c>
      <c r="B4" s="419"/>
      <c r="C4" s="420">
        <v>9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-14.19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2" ht="13.5" customHeight="1">
      <c r="A5" s="418" t="s">
        <v>135</v>
      </c>
      <c r="B5" s="419"/>
      <c r="C5" s="454" t="s">
        <v>106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2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2" ht="13.5" customHeight="1">
      <c r="A7" s="407">
        <f>COUNTIF(F35:HQ35,"P")</f>
        <v>15</v>
      </c>
      <c r="B7" s="408"/>
      <c r="C7" s="452">
        <f>COUNTIF(F32:HQ35,"F")</f>
        <v>0</v>
      </c>
      <c r="D7" s="428"/>
      <c r="E7" s="408"/>
      <c r="F7" s="452">
        <f>SUM(O7,- A7,- C7)</f>
        <v>0</v>
      </c>
      <c r="G7" s="428"/>
      <c r="H7" s="428"/>
      <c r="I7" s="428"/>
      <c r="J7" s="428"/>
      <c r="K7" s="453"/>
      <c r="L7" s="360">
        <f>COUNTIF(E34:HQ34,"N")</f>
        <v>6</v>
      </c>
      <c r="M7" s="360">
        <f>COUNTIF(E34:HQ34,"A")</f>
        <v>5</v>
      </c>
      <c r="N7" s="360">
        <f>COUNTIF(E34:HQ34,"B")</f>
        <v>4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2" ht="10.5">
      <c r="D8" s="364"/>
    </row>
    <row r="9" spans="1:22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262"/>
      <c r="V9" s="77"/>
    </row>
    <row r="10" spans="1:22" ht="13.5" customHeight="1">
      <c r="A10" s="200" t="s">
        <v>152</v>
      </c>
      <c r="B10" s="83" t="s">
        <v>153</v>
      </c>
      <c r="C10" s="84"/>
      <c r="D10" s="255" t="s">
        <v>197</v>
      </c>
      <c r="E10" s="85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4"/>
    </row>
    <row r="11" spans="1:22" ht="13.5" customHeight="1">
      <c r="A11" s="191"/>
      <c r="B11" s="83"/>
      <c r="C11" s="84"/>
      <c r="D11" s="255"/>
      <c r="E11" s="254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4"/>
      <c r="V11" s="77"/>
    </row>
    <row r="12" spans="1:22" ht="13.5" customHeight="1">
      <c r="A12" s="191"/>
      <c r="B12" s="83" t="s">
        <v>198</v>
      </c>
      <c r="C12" s="84"/>
      <c r="D12" s="255"/>
      <c r="E12" s="254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4"/>
    </row>
    <row r="13" spans="1:22" ht="13.5" customHeight="1">
      <c r="A13" s="191"/>
      <c r="B13" s="83"/>
      <c r="C13" s="84"/>
      <c r="D13" s="255" t="s">
        <v>157</v>
      </c>
      <c r="E13" s="252"/>
      <c r="F13" s="263"/>
      <c r="G13" s="263"/>
      <c r="H13" s="263"/>
      <c r="I13" s="263"/>
      <c r="J13" s="263"/>
      <c r="K13" s="289" t="s">
        <v>155</v>
      </c>
      <c r="L13" s="289" t="s">
        <v>155</v>
      </c>
      <c r="M13" s="289" t="s">
        <v>155</v>
      </c>
      <c r="N13" s="263"/>
      <c r="O13" s="263"/>
      <c r="P13" s="263"/>
      <c r="Q13" s="263"/>
      <c r="R13" s="289" t="s">
        <v>155</v>
      </c>
      <c r="S13" s="263"/>
      <c r="T13" s="264"/>
      <c r="U13" s="265"/>
    </row>
    <row r="14" spans="1:22" ht="13.5" customHeight="1">
      <c r="A14" s="191"/>
      <c r="B14" s="83"/>
      <c r="C14" s="84"/>
      <c r="D14" s="351" t="s">
        <v>182</v>
      </c>
      <c r="E14" s="252"/>
      <c r="F14" s="263" t="s">
        <v>155</v>
      </c>
      <c r="G14" s="263" t="s">
        <v>155</v>
      </c>
      <c r="H14" s="263" t="s">
        <v>155</v>
      </c>
      <c r="I14" s="263" t="s">
        <v>155</v>
      </c>
      <c r="J14" s="263" t="s">
        <v>155</v>
      </c>
      <c r="K14" s="263"/>
      <c r="L14" s="263"/>
      <c r="M14" s="263"/>
      <c r="N14" s="263" t="s">
        <v>155</v>
      </c>
      <c r="O14" s="263" t="s">
        <v>155</v>
      </c>
      <c r="P14" s="263" t="s">
        <v>155</v>
      </c>
      <c r="Q14" s="263" t="s">
        <v>155</v>
      </c>
      <c r="R14" s="263"/>
      <c r="S14" s="263" t="s">
        <v>155</v>
      </c>
      <c r="T14" s="264" t="s">
        <v>155</v>
      </c>
      <c r="U14" s="265"/>
    </row>
    <row r="15" spans="1:22" ht="13.5" customHeight="1">
      <c r="A15" s="191"/>
      <c r="B15" s="83"/>
      <c r="C15" s="84"/>
      <c r="D15" s="351"/>
      <c r="E15" s="252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4"/>
      <c r="U15" s="265"/>
    </row>
    <row r="16" spans="1:22" ht="13.5" customHeight="1">
      <c r="A16" s="191"/>
      <c r="B16" s="83" t="s">
        <v>194</v>
      </c>
      <c r="C16" s="84"/>
      <c r="D16" s="506"/>
      <c r="E16" s="506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4"/>
    </row>
    <row r="17" spans="1:20" ht="13.5" customHeight="1">
      <c r="A17" s="191"/>
      <c r="B17" s="83"/>
      <c r="C17" s="84"/>
      <c r="D17" s="368">
        <v>-5</v>
      </c>
      <c r="E17" s="364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89" t="s">
        <v>155</v>
      </c>
      <c r="R17" s="263"/>
      <c r="S17" s="263"/>
      <c r="T17" s="264"/>
    </row>
    <row r="18" spans="1:20" ht="13.5" customHeight="1">
      <c r="A18" s="191"/>
      <c r="B18" s="251"/>
      <c r="C18" s="84"/>
      <c r="D18" s="293">
        <v>-1</v>
      </c>
      <c r="E18" s="252"/>
      <c r="F18" s="263"/>
      <c r="G18" s="263"/>
      <c r="H18" s="263"/>
      <c r="I18" s="263"/>
      <c r="J18" s="289" t="s">
        <v>155</v>
      </c>
      <c r="K18" s="263"/>
      <c r="L18" s="263"/>
      <c r="M18" s="263" t="s">
        <v>155</v>
      </c>
      <c r="N18" s="263"/>
      <c r="O18" s="263"/>
      <c r="P18" s="263"/>
      <c r="Q18" s="289"/>
      <c r="R18" s="263"/>
      <c r="S18" s="263"/>
      <c r="T18" s="264"/>
    </row>
    <row r="19" spans="1:20" ht="13.5" customHeight="1">
      <c r="A19" s="191"/>
      <c r="B19" s="83"/>
      <c r="C19" s="84"/>
      <c r="D19" s="257">
        <v>0</v>
      </c>
      <c r="E19" s="252"/>
      <c r="F19" s="263"/>
      <c r="G19" s="263"/>
      <c r="H19" s="263"/>
      <c r="I19" s="263" t="s">
        <v>155</v>
      </c>
      <c r="J19" s="263"/>
      <c r="K19" s="263"/>
      <c r="L19" s="263" t="s">
        <v>155</v>
      </c>
      <c r="M19" s="263"/>
      <c r="N19" s="263"/>
      <c r="O19" s="263"/>
      <c r="P19" s="263" t="s">
        <v>155</v>
      </c>
      <c r="Q19" s="263"/>
      <c r="R19" s="263"/>
      <c r="S19" s="263"/>
      <c r="T19" s="264" t="s">
        <v>155</v>
      </c>
    </row>
    <row r="20" spans="1:20" ht="13.5" customHeight="1">
      <c r="A20" s="191"/>
      <c r="B20" s="83"/>
      <c r="C20" s="84"/>
      <c r="D20" s="255">
        <v>1</v>
      </c>
      <c r="E20" s="252"/>
      <c r="F20" s="263" t="s">
        <v>155</v>
      </c>
      <c r="G20" s="263"/>
      <c r="H20" s="263"/>
      <c r="I20" s="263"/>
      <c r="J20" s="263"/>
      <c r="K20" s="263" t="s">
        <v>155</v>
      </c>
      <c r="L20" s="263"/>
      <c r="M20" s="263"/>
      <c r="N20" s="263" t="s">
        <v>155</v>
      </c>
      <c r="O20" s="263"/>
      <c r="P20" s="263"/>
      <c r="Q20" s="263"/>
      <c r="R20" s="263"/>
      <c r="S20" s="263"/>
      <c r="T20" s="264"/>
    </row>
    <row r="21" spans="1:20" ht="13.5" customHeight="1">
      <c r="A21" s="191"/>
      <c r="B21" s="83"/>
      <c r="C21" s="84"/>
      <c r="D21" s="255">
        <v>10</v>
      </c>
      <c r="E21" s="252"/>
      <c r="F21" s="263"/>
      <c r="G21" s="263" t="s">
        <v>155</v>
      </c>
      <c r="H21" s="263"/>
      <c r="I21" s="263"/>
      <c r="J21" s="263"/>
      <c r="K21" s="263"/>
      <c r="L21" s="263"/>
      <c r="M21" s="263"/>
      <c r="N21" s="263"/>
      <c r="O21" s="263" t="s">
        <v>155</v>
      </c>
      <c r="P21" s="263"/>
      <c r="Q21" s="263"/>
      <c r="R21" s="263" t="s">
        <v>155</v>
      </c>
      <c r="S21" s="263"/>
      <c r="T21" s="264"/>
    </row>
    <row r="22" spans="1:20" ht="13.5" customHeight="1">
      <c r="A22" s="191"/>
      <c r="B22" s="83"/>
      <c r="C22" s="84"/>
      <c r="D22" s="257">
        <v>100</v>
      </c>
      <c r="E22" s="252"/>
      <c r="F22" s="263"/>
      <c r="G22" s="263"/>
      <c r="H22" s="263" t="s">
        <v>155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 t="s">
        <v>155</v>
      </c>
      <c r="T22" s="264"/>
    </row>
    <row r="23" spans="1:20" ht="13.5" customHeight="1">
      <c r="A23" s="191"/>
      <c r="B23" s="83"/>
      <c r="C23" s="84"/>
      <c r="D23" s="255"/>
      <c r="E23" s="252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4"/>
    </row>
    <row r="24" spans="1:20" ht="13.5" customHeight="1">
      <c r="A24" s="199" t="s">
        <v>158</v>
      </c>
      <c r="B24" s="268" t="s">
        <v>159</v>
      </c>
      <c r="C24" s="269"/>
      <c r="D24" s="98"/>
      <c r="E24" s="99"/>
      <c r="F24" s="353"/>
      <c r="G24" s="353"/>
      <c r="H24" s="353"/>
      <c r="I24" s="353"/>
      <c r="J24" s="353"/>
      <c r="K24" s="353"/>
      <c r="L24" s="353"/>
      <c r="M24" s="353"/>
      <c r="N24" s="353"/>
      <c r="O24" s="353"/>
      <c r="P24" s="353"/>
      <c r="Q24" s="353"/>
      <c r="R24" s="353"/>
      <c r="S24" s="353"/>
      <c r="T24" s="354"/>
    </row>
    <row r="25" spans="1:20" ht="14.25" customHeight="1">
      <c r="A25" s="198"/>
      <c r="B25" s="148"/>
      <c r="C25" s="272"/>
      <c r="D25" s="258" t="s">
        <v>199</v>
      </c>
      <c r="E25" s="352"/>
      <c r="F25" s="355"/>
      <c r="G25" s="355"/>
      <c r="H25" s="355"/>
      <c r="I25" s="355" t="s">
        <v>155</v>
      </c>
      <c r="J25" s="355" t="s">
        <v>155</v>
      </c>
      <c r="K25" s="355"/>
      <c r="L25" s="355"/>
      <c r="M25" s="355"/>
      <c r="N25" s="355"/>
      <c r="O25" s="355"/>
      <c r="P25" s="355" t="s">
        <v>155</v>
      </c>
      <c r="Q25" s="355" t="s">
        <v>155</v>
      </c>
      <c r="R25" s="355"/>
      <c r="S25" s="355"/>
      <c r="T25" s="355" t="s">
        <v>155</v>
      </c>
    </row>
    <row r="26" spans="1:20" ht="15" customHeight="1">
      <c r="A26" s="198"/>
      <c r="B26" s="148"/>
      <c r="C26" s="272"/>
      <c r="D26" s="259" t="s">
        <v>200</v>
      </c>
      <c r="E26" s="352"/>
      <c r="F26" s="355"/>
      <c r="G26" s="355"/>
      <c r="H26" s="355"/>
      <c r="I26" s="355"/>
      <c r="J26" s="355"/>
      <c r="K26" s="355" t="s">
        <v>155</v>
      </c>
      <c r="L26" s="355" t="s">
        <v>155</v>
      </c>
      <c r="M26" s="355" t="s">
        <v>155</v>
      </c>
      <c r="N26" s="355"/>
      <c r="O26" s="355"/>
      <c r="P26" s="355"/>
      <c r="Q26" s="355"/>
      <c r="R26" s="355" t="s">
        <v>155</v>
      </c>
      <c r="S26" s="355"/>
      <c r="T26" s="355"/>
    </row>
    <row r="27" spans="1:20" ht="13.5" customHeight="1">
      <c r="A27" s="198"/>
      <c r="B27" s="148"/>
      <c r="C27" s="272"/>
      <c r="D27" s="258" t="s">
        <v>201</v>
      </c>
      <c r="E27" s="352"/>
      <c r="F27" s="355" t="s">
        <v>155</v>
      </c>
      <c r="G27" s="355" t="s">
        <v>155</v>
      </c>
      <c r="H27" s="355" t="s">
        <v>155</v>
      </c>
      <c r="I27" s="355"/>
      <c r="J27" s="355"/>
      <c r="K27" s="355"/>
      <c r="L27" s="355"/>
      <c r="M27" s="355"/>
      <c r="N27" s="355" t="s">
        <v>155</v>
      </c>
      <c r="O27" s="355" t="s">
        <v>155</v>
      </c>
      <c r="P27" s="355"/>
      <c r="Q27" s="355"/>
      <c r="R27" s="355"/>
      <c r="S27" s="355" t="s">
        <v>155</v>
      </c>
      <c r="T27" s="355"/>
    </row>
    <row r="28" spans="1:20" ht="13.5" customHeight="1">
      <c r="A28" s="198"/>
      <c r="B28" s="148"/>
      <c r="C28" s="272"/>
      <c r="D28" s="103"/>
      <c r="E28" s="352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</row>
    <row r="29" spans="1:20" ht="13.5" customHeight="1">
      <c r="A29" s="198"/>
      <c r="B29" s="273" t="s">
        <v>160</v>
      </c>
      <c r="C29" s="274"/>
      <c r="D29" s="103"/>
      <c r="E29" s="106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1"/>
    </row>
    <row r="30" spans="1:20" ht="13.5" customHeight="1">
      <c r="A30" s="198"/>
      <c r="B30" s="273"/>
      <c r="C30" s="274"/>
      <c r="D30" s="103"/>
      <c r="E30" s="106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4"/>
    </row>
    <row r="31" spans="1:20" ht="13.5" customHeight="1">
      <c r="A31" s="198"/>
      <c r="B31" s="273" t="s">
        <v>161</v>
      </c>
      <c r="C31" s="274"/>
      <c r="D31" s="103"/>
      <c r="E31" s="106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4"/>
    </row>
    <row r="32" spans="1:20" ht="13.5" customHeight="1">
      <c r="A32" s="198"/>
      <c r="B32" s="273"/>
      <c r="C32" s="274"/>
      <c r="D32" s="103"/>
      <c r="E32" s="106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4"/>
    </row>
    <row r="33" spans="1:20" ht="16.5">
      <c r="A33" s="198"/>
      <c r="B33" s="275"/>
      <c r="C33" s="276"/>
      <c r="D33" s="184"/>
      <c r="E33" s="185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8"/>
    </row>
    <row r="34" spans="1:20" ht="11.25">
      <c r="A34" s="198"/>
      <c r="B34" s="507" t="s">
        <v>163</v>
      </c>
      <c r="C34" s="507"/>
      <c r="D34" s="507"/>
      <c r="E34" s="365"/>
      <c r="F34" s="279" t="s">
        <v>118</v>
      </c>
      <c r="G34" s="279" t="s">
        <v>118</v>
      </c>
      <c r="H34" s="279" t="s">
        <v>118</v>
      </c>
      <c r="I34" s="279" t="s">
        <v>119</v>
      </c>
      <c r="J34" s="279" t="s">
        <v>62</v>
      </c>
      <c r="K34" s="279" t="s">
        <v>62</v>
      </c>
      <c r="L34" s="279" t="s">
        <v>119</v>
      </c>
      <c r="M34" s="279" t="s">
        <v>62</v>
      </c>
      <c r="N34" s="279" t="s">
        <v>118</v>
      </c>
      <c r="O34" s="279" t="s">
        <v>118</v>
      </c>
      <c r="P34" s="279" t="s">
        <v>119</v>
      </c>
      <c r="Q34" s="279" t="s">
        <v>62</v>
      </c>
      <c r="R34" s="279" t="s">
        <v>62</v>
      </c>
      <c r="S34" s="279" t="s">
        <v>118</v>
      </c>
      <c r="T34" s="280" t="s">
        <v>119</v>
      </c>
    </row>
    <row r="35" spans="1:20" ht="13.5" customHeight="1">
      <c r="A35" s="198"/>
      <c r="B35" s="424" t="s">
        <v>164</v>
      </c>
      <c r="C35" s="424"/>
      <c r="D35" s="424"/>
      <c r="E35" s="108"/>
      <c r="F35" s="281" t="s">
        <v>165</v>
      </c>
      <c r="G35" s="281" t="s">
        <v>165</v>
      </c>
      <c r="H35" s="281" t="s">
        <v>165</v>
      </c>
      <c r="I35" s="281" t="s">
        <v>165</v>
      </c>
      <c r="J35" s="281" t="s">
        <v>165</v>
      </c>
      <c r="K35" s="281" t="s">
        <v>165</v>
      </c>
      <c r="L35" s="281" t="s">
        <v>165</v>
      </c>
      <c r="M35" s="281" t="s">
        <v>165</v>
      </c>
      <c r="N35" s="281" t="s">
        <v>165</v>
      </c>
      <c r="O35" s="281" t="s">
        <v>165</v>
      </c>
      <c r="P35" s="281" t="s">
        <v>165</v>
      </c>
      <c r="Q35" s="281" t="s">
        <v>165</v>
      </c>
      <c r="R35" s="281" t="s">
        <v>165</v>
      </c>
      <c r="S35" s="281" t="s">
        <v>165</v>
      </c>
      <c r="T35" s="282" t="s">
        <v>165</v>
      </c>
    </row>
    <row r="36" spans="1:20" ht="55.5" customHeight="1">
      <c r="A36" s="199" t="s">
        <v>162</v>
      </c>
      <c r="B36" s="406" t="s">
        <v>166</v>
      </c>
      <c r="C36" s="406"/>
      <c r="D36" s="406"/>
      <c r="E36" s="109"/>
      <c r="F36" s="110">
        <v>46107</v>
      </c>
      <c r="G36" s="110">
        <v>46107</v>
      </c>
      <c r="H36" s="110">
        <v>46107</v>
      </c>
      <c r="I36" s="110">
        <v>46107</v>
      </c>
      <c r="J36" s="110">
        <v>46107</v>
      </c>
      <c r="K36" s="110">
        <v>46107</v>
      </c>
      <c r="L36" s="110">
        <v>46107</v>
      </c>
      <c r="M36" s="110">
        <v>46107</v>
      </c>
      <c r="N36" s="110">
        <v>46107</v>
      </c>
      <c r="O36" s="110">
        <v>46107</v>
      </c>
      <c r="P36" s="110">
        <v>46107</v>
      </c>
      <c r="Q36" s="110">
        <v>46107</v>
      </c>
      <c r="R36" s="110">
        <v>46107</v>
      </c>
      <c r="S36" s="110">
        <v>46107</v>
      </c>
      <c r="T36" s="193">
        <v>46107</v>
      </c>
    </row>
    <row r="37" spans="1:20" ht="13.5" customHeight="1">
      <c r="A37" s="192"/>
      <c r="B37" s="409" t="s">
        <v>167</v>
      </c>
      <c r="C37" s="409"/>
      <c r="D37" s="409"/>
      <c r="E37" s="195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7"/>
    </row>
    <row r="38" spans="1:20" ht="13.5" customHeight="1">
      <c r="A38" s="192"/>
      <c r="B38" s="75"/>
      <c r="C38" s="364"/>
      <c r="D38" s="75"/>
    </row>
    <row r="39" spans="1:20" ht="13.5" customHeight="1">
      <c r="A39" s="194"/>
      <c r="D39" s="364"/>
    </row>
    <row r="40" spans="1:20" ht="13.5" customHeight="1">
      <c r="A40" s="79"/>
      <c r="D40" s="364"/>
    </row>
    <row r="41" spans="1:20" ht="13.5" customHeight="1">
      <c r="D41" s="364"/>
    </row>
    <row r="42" spans="1:20" ht="13.5" customHeight="1">
      <c r="D42" s="364"/>
    </row>
    <row r="43" spans="1:20" ht="13.5" customHeight="1">
      <c r="D43" s="364"/>
    </row>
    <row r="44" spans="1:20" ht="13.5" customHeight="1">
      <c r="D44" s="364"/>
    </row>
    <row r="45" spans="1:20" ht="13.5" customHeight="1">
      <c r="D45" s="364"/>
    </row>
    <row r="46" spans="1:20" ht="13.5" customHeight="1">
      <c r="D46" s="364"/>
    </row>
    <row r="47" spans="1:20" ht="13.5" customHeight="1">
      <c r="D47" s="364"/>
    </row>
  </sheetData>
  <mergeCells count="28">
    <mergeCell ref="D16:E16"/>
    <mergeCell ref="B34:D34"/>
    <mergeCell ref="B35:D35"/>
    <mergeCell ref="B36:D36"/>
    <mergeCell ref="B37:D37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T3"/>
  </mergeCells>
  <phoneticPr fontId="44"/>
  <dataValidations count="3">
    <dataValidation type="list" allowBlank="1" showInputMessage="1" showErrorMessage="1" sqref="F34:T34" xr:uid="{8AFD8B01-7CB2-4028-96CF-229ECB18CC09}">
      <formula1>"N,A,B, "</formula1>
    </dataValidation>
    <dataValidation type="list" allowBlank="1" showInputMessage="1" showErrorMessage="1" sqref="F35:T35" xr:uid="{34BB4E96-0096-496E-9F27-218BAC77B8DE}">
      <formula1>"P,F, "</formula1>
    </dataValidation>
    <dataValidation type="list" allowBlank="1" showInputMessage="1" showErrorMessage="1" sqref="F10:T33" xr:uid="{17E15116-46A7-43BC-AA94-0140DFC41834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F44B-4B2A-4D95-AA94-547FAA09425C}">
  <dimension ref="A1:V75"/>
  <sheetViews>
    <sheetView workbookViewId="0">
      <selection activeCell="C5" sqref="C5:T5"/>
    </sheetView>
  </sheetViews>
  <sheetFormatPr defaultColWidth="9" defaultRowHeight="13.5" customHeight="1"/>
  <cols>
    <col min="1" max="1" width="8.140625" style="75" customWidth="1"/>
    <col min="2" max="2" width="13.28515625" style="79" customWidth="1"/>
    <col min="3" max="3" width="10.85546875" style="75" customWidth="1"/>
    <col min="4" max="4" width="11.28515625" style="334" customWidth="1"/>
    <col min="5" max="5" width="1.85546875" style="75" hidden="1" customWidth="1"/>
    <col min="6" max="6" width="4" style="75" customWidth="1"/>
    <col min="7" max="7" width="3.28515625" style="75" customWidth="1"/>
    <col min="8" max="8" width="5" style="75" customWidth="1"/>
    <col min="9" max="9" width="4.28515625" style="75" customWidth="1"/>
    <col min="10" max="11" width="4.140625" style="75" customWidth="1"/>
    <col min="12" max="12" width="3.7109375" style="75" customWidth="1"/>
    <col min="13" max="19" width="2.85546875" style="75" customWidth="1"/>
    <col min="20" max="20" width="3.85546875" style="75" customWidth="1"/>
    <col min="21" max="21" width="2.85546875" style="75" customWidth="1"/>
    <col min="22" max="16384" width="9" style="75"/>
  </cols>
  <sheetData>
    <row r="1" spans="1:22" ht="13.5" customHeight="1">
      <c r="A1" s="73"/>
      <c r="B1" s="74"/>
      <c r="D1" s="364"/>
    </row>
    <row r="2" spans="1:22" ht="13.5" customHeight="1">
      <c r="A2" s="508" t="s">
        <v>129</v>
      </c>
      <c r="B2" s="509"/>
      <c r="C2" s="510" t="s">
        <v>202</v>
      </c>
      <c r="D2" s="511"/>
      <c r="E2" s="512"/>
      <c r="F2" s="513" t="s">
        <v>72</v>
      </c>
      <c r="G2" s="514"/>
      <c r="H2" s="514"/>
      <c r="I2" s="514"/>
      <c r="J2" s="514"/>
      <c r="K2" s="514"/>
      <c r="L2" s="515" t="s">
        <v>202</v>
      </c>
      <c r="M2" s="516"/>
      <c r="N2" s="516"/>
      <c r="O2" s="516"/>
      <c r="P2" s="516"/>
      <c r="Q2" s="516"/>
      <c r="R2" s="516"/>
      <c r="S2" s="516"/>
      <c r="T2" s="517"/>
      <c r="V2" s="77"/>
    </row>
    <row r="3" spans="1:22" ht="13.5" customHeight="1">
      <c r="A3" s="418" t="s">
        <v>130</v>
      </c>
      <c r="B3" s="419"/>
      <c r="C3" s="413" t="s">
        <v>196</v>
      </c>
      <c r="D3" s="414"/>
      <c r="E3" s="415"/>
      <c r="F3" s="449" t="s">
        <v>132</v>
      </c>
      <c r="G3" s="450"/>
      <c r="H3" s="450"/>
      <c r="I3" s="450"/>
      <c r="J3" s="450"/>
      <c r="K3" s="451"/>
      <c r="L3" s="520" t="s">
        <v>196</v>
      </c>
      <c r="M3" s="521"/>
      <c r="N3" s="521"/>
      <c r="O3" s="521"/>
      <c r="P3" s="521"/>
      <c r="Q3" s="521"/>
      <c r="R3" s="521"/>
      <c r="S3" s="521"/>
      <c r="T3" s="522"/>
    </row>
    <row r="4" spans="1:22" ht="13.5" customHeight="1">
      <c r="A4" s="418" t="s">
        <v>133</v>
      </c>
      <c r="B4" s="419"/>
      <c r="C4" s="420">
        <v>8</v>
      </c>
      <c r="D4" s="421"/>
      <c r="E4" s="361"/>
      <c r="F4" s="449" t="s">
        <v>134</v>
      </c>
      <c r="G4" s="450"/>
      <c r="H4" s="450"/>
      <c r="I4" s="450"/>
      <c r="J4" s="450"/>
      <c r="K4" s="451"/>
      <c r="L4" s="445">
        <f xml:space="preserve"> IF(Functions!E6&lt;&gt;"N/A",SUM(C4*Functions!E6/1000,- O7),"N/A")</f>
        <v>-14.28</v>
      </c>
      <c r="M4" s="446"/>
      <c r="N4" s="446"/>
      <c r="O4" s="446"/>
      <c r="P4" s="446"/>
      <c r="Q4" s="446"/>
      <c r="R4" s="446"/>
      <c r="S4" s="446"/>
      <c r="T4" s="447"/>
      <c r="V4" s="77"/>
    </row>
    <row r="5" spans="1:22" ht="13.5" customHeight="1">
      <c r="A5" s="418" t="s">
        <v>135</v>
      </c>
      <c r="B5" s="419"/>
      <c r="C5" s="454" t="s">
        <v>109</v>
      </c>
      <c r="D5" s="454"/>
      <c r="E5" s="454"/>
      <c r="F5" s="455"/>
      <c r="G5" s="455"/>
      <c r="H5" s="455"/>
      <c r="I5" s="455"/>
      <c r="J5" s="455"/>
      <c r="K5" s="455"/>
      <c r="L5" s="454"/>
      <c r="M5" s="454"/>
      <c r="N5" s="454"/>
      <c r="O5" s="454"/>
      <c r="P5" s="454"/>
      <c r="Q5" s="454"/>
      <c r="R5" s="454"/>
      <c r="S5" s="454"/>
      <c r="T5" s="454"/>
    </row>
    <row r="6" spans="1:22" ht="13.5" customHeight="1">
      <c r="A6" s="422" t="s">
        <v>115</v>
      </c>
      <c r="B6" s="423"/>
      <c r="C6" s="440" t="s">
        <v>116</v>
      </c>
      <c r="D6" s="436"/>
      <c r="E6" s="441"/>
      <c r="F6" s="440" t="s">
        <v>117</v>
      </c>
      <c r="G6" s="436"/>
      <c r="H6" s="436"/>
      <c r="I6" s="436"/>
      <c r="J6" s="436"/>
      <c r="K6" s="448"/>
      <c r="L6" s="436" t="s">
        <v>136</v>
      </c>
      <c r="M6" s="436"/>
      <c r="N6" s="436"/>
      <c r="O6" s="435" t="s">
        <v>120</v>
      </c>
      <c r="P6" s="436"/>
      <c r="Q6" s="436"/>
      <c r="R6" s="436"/>
      <c r="S6" s="436"/>
      <c r="T6" s="437"/>
      <c r="V6" s="77"/>
    </row>
    <row r="7" spans="1:22" ht="13.5" customHeight="1">
      <c r="A7" s="407">
        <f>COUNTIF(F29:HQ47,"P")</f>
        <v>15</v>
      </c>
      <c r="B7" s="408"/>
      <c r="C7" s="452">
        <f>COUNTIF(F22:HQ29,"F")</f>
        <v>0</v>
      </c>
      <c r="D7" s="428"/>
      <c r="E7" s="408"/>
      <c r="F7" s="452">
        <f>SUM(O7,- A7,- C7)</f>
        <v>0</v>
      </c>
      <c r="G7" s="428"/>
      <c r="H7" s="428"/>
      <c r="I7" s="428"/>
      <c r="J7" s="428"/>
      <c r="K7" s="453"/>
      <c r="L7" s="360">
        <f>COUNTIF(E24:HQ46,"N")</f>
        <v>5</v>
      </c>
      <c r="M7" s="360">
        <f>COUNTIF(E24:HQ46,"A")</f>
        <v>7</v>
      </c>
      <c r="N7" s="360">
        <f>COUNTIF(E24:HQ46,"B")</f>
        <v>3</v>
      </c>
      <c r="O7" s="427">
        <f>COUNTA(E9:HT9)</f>
        <v>15</v>
      </c>
      <c r="P7" s="428"/>
      <c r="Q7" s="428"/>
      <c r="R7" s="428"/>
      <c r="S7" s="428"/>
      <c r="T7" s="429"/>
      <c r="U7" s="78"/>
    </row>
    <row r="8" spans="1:22" ht="10.5">
      <c r="D8" s="364"/>
    </row>
    <row r="9" spans="1:22" ht="45" customHeight="1">
      <c r="A9" s="203"/>
      <c r="B9" s="186"/>
      <c r="C9" s="187"/>
      <c r="D9" s="188"/>
      <c r="E9" s="187"/>
      <c r="F9" s="189" t="s">
        <v>137</v>
      </c>
      <c r="G9" s="189" t="s">
        <v>138</v>
      </c>
      <c r="H9" s="189" t="s">
        <v>139</v>
      </c>
      <c r="I9" s="189" t="s">
        <v>140</v>
      </c>
      <c r="J9" s="189" t="s">
        <v>141</v>
      </c>
      <c r="K9" s="189" t="s">
        <v>142</v>
      </c>
      <c r="L9" s="189" t="s">
        <v>143</v>
      </c>
      <c r="M9" s="189" t="s">
        <v>144</v>
      </c>
      <c r="N9" s="189" t="s">
        <v>145</v>
      </c>
      <c r="O9" s="189" t="s">
        <v>146</v>
      </c>
      <c r="P9" s="189" t="s">
        <v>147</v>
      </c>
      <c r="Q9" s="189" t="s">
        <v>148</v>
      </c>
      <c r="R9" s="189" t="s">
        <v>149</v>
      </c>
      <c r="S9" s="189" t="s">
        <v>150</v>
      </c>
      <c r="T9" s="190" t="s">
        <v>151</v>
      </c>
      <c r="U9" s="262"/>
      <c r="V9" s="77"/>
    </row>
    <row r="10" spans="1:22" ht="13.5" customHeight="1">
      <c r="A10" s="200" t="s">
        <v>152</v>
      </c>
      <c r="B10" s="83" t="s">
        <v>153</v>
      </c>
      <c r="C10" s="84"/>
      <c r="D10" s="255" t="s">
        <v>197</v>
      </c>
      <c r="E10" s="85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4"/>
    </row>
    <row r="11" spans="1:22" ht="13.5" customHeight="1">
      <c r="A11" s="191"/>
      <c r="B11" s="83"/>
      <c r="C11" s="84"/>
      <c r="D11" s="255"/>
      <c r="E11" s="254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4"/>
      <c r="V11" s="77"/>
    </row>
    <row r="12" spans="1:22" ht="13.5" customHeight="1">
      <c r="A12" s="191"/>
      <c r="B12" s="83" t="s">
        <v>198</v>
      </c>
      <c r="C12" s="84"/>
      <c r="D12" s="255"/>
      <c r="E12" s="254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4"/>
    </row>
    <row r="13" spans="1:22" ht="13.5" customHeight="1">
      <c r="A13" s="191"/>
      <c r="B13" s="83"/>
      <c r="C13" s="84"/>
      <c r="D13" s="255" t="s">
        <v>203</v>
      </c>
      <c r="E13" s="252"/>
      <c r="F13" s="289" t="s">
        <v>155</v>
      </c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4"/>
      <c r="U13" s="265"/>
    </row>
    <row r="14" spans="1:22" ht="13.5" customHeight="1">
      <c r="A14" s="191"/>
      <c r="B14" s="83"/>
      <c r="C14" s="84"/>
      <c r="D14" s="255">
        <v>-1</v>
      </c>
      <c r="E14" s="252"/>
      <c r="F14" s="263"/>
      <c r="G14" s="289" t="s">
        <v>155</v>
      </c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4"/>
      <c r="U14" s="265"/>
    </row>
    <row r="15" spans="1:22" ht="13.5" customHeight="1">
      <c r="A15" s="191"/>
      <c r="B15" s="83"/>
      <c r="C15" s="84"/>
      <c r="D15" s="506">
        <v>0</v>
      </c>
      <c r="E15" s="506"/>
      <c r="F15" s="263"/>
      <c r="G15" s="263"/>
      <c r="H15" s="263" t="s">
        <v>155</v>
      </c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4"/>
    </row>
    <row r="16" spans="1:22" ht="13.5" customHeight="1">
      <c r="A16" s="191"/>
      <c r="B16" s="83"/>
      <c r="C16" s="84"/>
      <c r="D16" s="255" t="s">
        <v>204</v>
      </c>
      <c r="E16" s="252"/>
      <c r="F16" s="263"/>
      <c r="G16" s="263"/>
      <c r="H16" s="263"/>
      <c r="I16" s="263"/>
      <c r="J16" s="263" t="s">
        <v>155</v>
      </c>
      <c r="K16" s="263"/>
      <c r="L16" s="263"/>
      <c r="M16" s="263"/>
      <c r="N16" s="263"/>
      <c r="O16" s="263"/>
      <c r="P16" s="263"/>
      <c r="Q16" s="263"/>
      <c r="R16" s="263"/>
      <c r="S16" s="263"/>
      <c r="T16" s="264"/>
    </row>
    <row r="17" spans="1:20" ht="13.5" customHeight="1">
      <c r="A17" s="191"/>
      <c r="B17" s="369"/>
      <c r="C17" s="370"/>
      <c r="D17" s="293" t="s">
        <v>205</v>
      </c>
      <c r="E17" s="252"/>
      <c r="F17" s="270"/>
      <c r="G17" s="270"/>
      <c r="H17" s="270"/>
      <c r="I17" s="270"/>
      <c r="J17" s="270"/>
      <c r="K17" s="375" t="s">
        <v>155</v>
      </c>
      <c r="L17" s="270"/>
      <c r="M17" s="270"/>
      <c r="N17" s="270"/>
      <c r="O17" s="270"/>
      <c r="P17" s="270"/>
      <c r="Q17" s="270"/>
      <c r="R17" s="270"/>
      <c r="S17" s="270"/>
      <c r="T17" s="271"/>
    </row>
    <row r="18" spans="1:20" ht="13.5" customHeight="1">
      <c r="A18" s="191"/>
      <c r="B18" s="369"/>
      <c r="C18" s="370"/>
      <c r="D18" s="293" t="s">
        <v>206</v>
      </c>
      <c r="E18" s="252"/>
      <c r="F18" s="270"/>
      <c r="G18" s="270"/>
      <c r="H18" s="270"/>
      <c r="I18" s="375" t="s">
        <v>155</v>
      </c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1"/>
    </row>
    <row r="19" spans="1:20" ht="13.5" customHeight="1">
      <c r="A19" s="191"/>
      <c r="B19" s="369"/>
      <c r="C19" s="370"/>
      <c r="D19" s="293" t="s">
        <v>207</v>
      </c>
      <c r="E19" s="252"/>
      <c r="F19" s="270"/>
      <c r="G19" s="270"/>
      <c r="H19" s="270"/>
      <c r="I19" s="270"/>
      <c r="J19" s="270"/>
      <c r="K19" s="270"/>
      <c r="L19" s="375" t="s">
        <v>155</v>
      </c>
      <c r="M19" s="270"/>
      <c r="N19" s="270"/>
      <c r="O19" s="270"/>
      <c r="P19" s="270"/>
      <c r="Q19" s="270"/>
      <c r="R19" s="270"/>
      <c r="S19" s="270"/>
      <c r="T19" s="271"/>
    </row>
    <row r="20" spans="1:20" ht="13.5" customHeight="1">
      <c r="A20" s="191"/>
      <c r="B20" s="369"/>
      <c r="C20" s="370"/>
      <c r="D20" s="293" t="s">
        <v>157</v>
      </c>
      <c r="E20" s="252"/>
      <c r="F20" s="270"/>
      <c r="G20" s="270"/>
      <c r="H20" s="270"/>
      <c r="I20" s="270"/>
      <c r="J20" s="270"/>
      <c r="K20" s="270"/>
      <c r="L20" s="270"/>
      <c r="M20" s="375" t="s">
        <v>155</v>
      </c>
      <c r="N20" s="270"/>
      <c r="O20" s="270"/>
      <c r="P20" s="270"/>
      <c r="Q20" s="270"/>
      <c r="R20" s="270"/>
      <c r="S20" s="270"/>
      <c r="T20" s="271"/>
    </row>
    <row r="21" spans="1:20" ht="13.5" customHeight="1">
      <c r="A21" s="191"/>
      <c r="B21" s="369"/>
      <c r="C21" s="370"/>
      <c r="D21" s="293" t="s">
        <v>208</v>
      </c>
      <c r="E21" s="252"/>
      <c r="F21" s="270"/>
      <c r="G21" s="270"/>
      <c r="H21" s="270"/>
      <c r="I21" s="270"/>
      <c r="J21" s="270"/>
      <c r="K21" s="270"/>
      <c r="L21" s="270"/>
      <c r="M21" s="270"/>
      <c r="N21" s="375" t="s">
        <v>155</v>
      </c>
      <c r="O21" s="270"/>
      <c r="P21" s="270"/>
      <c r="Q21" s="270"/>
      <c r="R21" s="270"/>
      <c r="S21" s="270"/>
      <c r="T21" s="271"/>
    </row>
    <row r="22" spans="1:20" ht="13.5" customHeight="1">
      <c r="A22" s="191"/>
      <c r="B22" s="369"/>
      <c r="C22" s="370"/>
      <c r="D22" s="293" t="s">
        <v>209</v>
      </c>
      <c r="E22" s="252"/>
      <c r="F22" s="270"/>
      <c r="G22" s="270"/>
      <c r="H22" s="270"/>
      <c r="I22" s="270"/>
      <c r="J22" s="270"/>
      <c r="K22" s="270"/>
      <c r="L22" s="270"/>
      <c r="M22" s="270"/>
      <c r="N22" s="270"/>
      <c r="O22" s="270" t="s">
        <v>155</v>
      </c>
      <c r="P22" s="270"/>
      <c r="Q22" s="270"/>
      <c r="R22" s="270"/>
      <c r="S22" s="270"/>
      <c r="T22" s="271"/>
    </row>
    <row r="23" spans="1:20" ht="16.5">
      <c r="A23" s="191"/>
      <c r="B23" s="369"/>
      <c r="C23" s="370"/>
      <c r="D23" s="293" t="s">
        <v>210</v>
      </c>
      <c r="E23" s="252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 t="s">
        <v>155</v>
      </c>
      <c r="S23" s="270"/>
      <c r="T23" s="271"/>
    </row>
    <row r="24" spans="1:20" ht="16.5">
      <c r="A24" s="191"/>
      <c r="B24" s="369"/>
      <c r="C24" s="370"/>
      <c r="D24" s="286" t="s">
        <v>211</v>
      </c>
      <c r="E24" s="252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 t="s">
        <v>155</v>
      </c>
      <c r="Q24" s="270"/>
      <c r="R24" s="270"/>
      <c r="S24" s="270"/>
      <c r="T24" s="271"/>
    </row>
    <row r="25" spans="1:20" ht="16.5">
      <c r="A25" s="191"/>
      <c r="B25" s="369"/>
      <c r="C25" s="370"/>
      <c r="D25" s="373" t="s">
        <v>212</v>
      </c>
      <c r="E25" s="252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 t="s">
        <v>155</v>
      </c>
      <c r="R25" s="270"/>
      <c r="S25" s="270"/>
      <c r="T25" s="271"/>
    </row>
    <row r="26" spans="1:20" ht="16.5">
      <c r="A26" s="191"/>
      <c r="B26" s="369"/>
      <c r="C26" s="370"/>
      <c r="D26" s="374">
        <v>100</v>
      </c>
      <c r="E26" s="252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 t="s">
        <v>155</v>
      </c>
      <c r="T26" s="271"/>
    </row>
    <row r="27" spans="1:20" ht="16.5">
      <c r="A27" s="191"/>
      <c r="B27" s="369"/>
      <c r="C27" s="370"/>
      <c r="D27" s="286" t="s">
        <v>213</v>
      </c>
      <c r="E27" s="252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1" t="s">
        <v>155</v>
      </c>
    </row>
    <row r="28" spans="1:20" ht="16.5">
      <c r="A28" s="191"/>
      <c r="B28" s="369"/>
      <c r="C28" s="370"/>
      <c r="D28" s="374"/>
      <c r="E28" s="252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1"/>
    </row>
    <row r="29" spans="1:20" ht="13.5" customHeight="1">
      <c r="A29" s="199" t="s">
        <v>158</v>
      </c>
      <c r="B29" s="268" t="s">
        <v>159</v>
      </c>
      <c r="C29" s="269"/>
      <c r="D29" s="372"/>
      <c r="E29" s="99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1"/>
    </row>
    <row r="30" spans="1:20" ht="18.75" customHeight="1">
      <c r="A30" s="198"/>
      <c r="B30" s="273"/>
      <c r="C30" s="274"/>
      <c r="D30" s="371">
        <v>-30</v>
      </c>
      <c r="E30" s="106"/>
      <c r="F30" s="263" t="s">
        <v>155</v>
      </c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4"/>
    </row>
    <row r="31" spans="1:20" ht="15" customHeight="1">
      <c r="A31" s="198"/>
      <c r="B31" s="273"/>
      <c r="C31" s="274"/>
      <c r="D31" s="98">
        <v>-1</v>
      </c>
      <c r="E31" s="106"/>
      <c r="F31" s="263"/>
      <c r="G31" s="263" t="s">
        <v>155</v>
      </c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4"/>
    </row>
    <row r="32" spans="1:20" ht="15" customHeight="1">
      <c r="A32" s="198"/>
      <c r="B32" s="273"/>
      <c r="C32" s="274"/>
      <c r="D32" s="103">
        <v>0</v>
      </c>
      <c r="E32" s="106"/>
      <c r="F32" s="263"/>
      <c r="G32" s="263"/>
      <c r="H32" s="263" t="s">
        <v>155</v>
      </c>
      <c r="I32" s="263" t="s">
        <v>155</v>
      </c>
      <c r="J32" s="263" t="s">
        <v>155</v>
      </c>
      <c r="K32" s="263" t="s">
        <v>155</v>
      </c>
      <c r="L32" s="263" t="s">
        <v>155</v>
      </c>
      <c r="M32" s="263" t="s">
        <v>155</v>
      </c>
      <c r="N32" s="263"/>
      <c r="O32" s="263"/>
      <c r="P32" s="263"/>
      <c r="Q32" s="263"/>
      <c r="R32" s="263"/>
      <c r="S32" s="263"/>
      <c r="T32" s="264"/>
    </row>
    <row r="33" spans="1:20" ht="15" customHeight="1">
      <c r="A33" s="198"/>
      <c r="B33" s="273"/>
      <c r="C33" s="274"/>
      <c r="D33" s="103">
        <v>4</v>
      </c>
      <c r="E33" s="106"/>
      <c r="F33" s="263"/>
      <c r="G33" s="263"/>
      <c r="H33" s="263"/>
      <c r="I33" s="263"/>
      <c r="J33" s="263"/>
      <c r="K33" s="263"/>
      <c r="L33" s="263"/>
      <c r="M33" s="263"/>
      <c r="N33" s="263" t="s">
        <v>155</v>
      </c>
      <c r="O33" s="263"/>
      <c r="P33" s="263"/>
      <c r="Q33" s="263"/>
      <c r="R33" s="263"/>
      <c r="S33" s="263"/>
      <c r="T33" s="264"/>
    </row>
    <row r="34" spans="1:20" ht="15" customHeight="1">
      <c r="A34" s="198"/>
      <c r="B34" s="273"/>
      <c r="C34" s="274"/>
      <c r="D34" s="103">
        <v>6</v>
      </c>
      <c r="E34" s="106"/>
      <c r="F34" s="263"/>
      <c r="G34" s="263"/>
      <c r="H34" s="263"/>
      <c r="I34" s="263"/>
      <c r="J34" s="263"/>
      <c r="K34" s="263"/>
      <c r="L34" s="263"/>
      <c r="M34" s="263"/>
      <c r="N34" s="263"/>
      <c r="O34" s="263" t="s">
        <v>155</v>
      </c>
      <c r="P34" s="263"/>
      <c r="Q34" s="263"/>
      <c r="R34" s="263"/>
      <c r="S34" s="263"/>
      <c r="T34" s="264"/>
    </row>
    <row r="35" spans="1:20" ht="15" customHeight="1">
      <c r="A35" s="198"/>
      <c r="B35" s="273"/>
      <c r="C35" s="274"/>
      <c r="D35" s="103">
        <v>10</v>
      </c>
      <c r="E35" s="106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 t="s">
        <v>155</v>
      </c>
      <c r="S35" s="263"/>
      <c r="T35" s="264"/>
    </row>
    <row r="36" spans="1:20" ht="15" customHeight="1">
      <c r="A36" s="198"/>
      <c r="B36" s="273"/>
      <c r="C36" s="274"/>
      <c r="D36" s="103">
        <v>20</v>
      </c>
      <c r="E36" s="106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 t="s">
        <v>155</v>
      </c>
      <c r="Q36" s="263"/>
      <c r="R36" s="263"/>
      <c r="S36" s="263"/>
      <c r="T36" s="264"/>
    </row>
    <row r="37" spans="1:20" ht="15" customHeight="1">
      <c r="A37" s="198"/>
      <c r="B37" s="273"/>
      <c r="C37" s="274"/>
      <c r="D37" s="103">
        <v>30</v>
      </c>
      <c r="E37" s="106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 t="s">
        <v>155</v>
      </c>
      <c r="R37" s="263"/>
      <c r="S37" s="263"/>
      <c r="T37" s="264"/>
    </row>
    <row r="38" spans="1:20" ht="15" customHeight="1">
      <c r="A38" s="198"/>
      <c r="B38" s="273"/>
      <c r="C38" s="274"/>
      <c r="D38" s="103">
        <v>100</v>
      </c>
      <c r="E38" s="106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 t="s">
        <v>155</v>
      </c>
      <c r="T38" s="264"/>
    </row>
    <row r="39" spans="1:20" ht="15" customHeight="1">
      <c r="A39" s="198"/>
      <c r="B39" s="273"/>
      <c r="C39" s="274"/>
      <c r="D39" s="103">
        <v>3000</v>
      </c>
      <c r="E39" s="106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4" t="s">
        <v>155</v>
      </c>
    </row>
    <row r="40" spans="1:20" ht="15" customHeight="1">
      <c r="A40" s="198"/>
      <c r="B40" s="273"/>
      <c r="C40" s="274"/>
      <c r="D40" s="103"/>
      <c r="E40" s="106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4"/>
    </row>
    <row r="41" spans="1:20" ht="13.5" customHeight="1">
      <c r="A41" s="198"/>
      <c r="B41" s="273" t="s">
        <v>160</v>
      </c>
      <c r="C41" s="274"/>
      <c r="D41" s="103"/>
      <c r="E41" s="106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4"/>
    </row>
    <row r="42" spans="1:20" ht="13.5" customHeight="1">
      <c r="A42" s="198"/>
      <c r="B42" s="273"/>
      <c r="C42" s="274"/>
      <c r="D42" s="103"/>
      <c r="E42" s="106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4"/>
    </row>
    <row r="43" spans="1:20" ht="13.5" customHeight="1">
      <c r="A43" s="198"/>
      <c r="B43" s="273" t="s">
        <v>161</v>
      </c>
      <c r="C43" s="274"/>
      <c r="D43" s="103"/>
      <c r="E43" s="106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4"/>
    </row>
    <row r="44" spans="1:20" ht="13.5" customHeight="1">
      <c r="A44" s="198"/>
      <c r="B44" s="273"/>
      <c r="C44" s="274"/>
      <c r="D44" s="103"/>
      <c r="E44" s="106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4"/>
    </row>
    <row r="45" spans="1:20" ht="13.5" customHeight="1">
      <c r="A45" s="198"/>
      <c r="B45" s="275"/>
      <c r="C45" s="276"/>
      <c r="D45" s="184"/>
      <c r="E45" s="185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8"/>
    </row>
    <row r="46" spans="1:20" ht="13.5" customHeight="1">
      <c r="A46" s="198"/>
      <c r="B46" s="507" t="s">
        <v>163</v>
      </c>
      <c r="C46" s="507"/>
      <c r="D46" s="507"/>
      <c r="E46" s="365"/>
      <c r="F46" s="279" t="s">
        <v>62</v>
      </c>
      <c r="G46" s="279" t="s">
        <v>62</v>
      </c>
      <c r="H46" s="279" t="s">
        <v>119</v>
      </c>
      <c r="I46" s="279" t="s">
        <v>62</v>
      </c>
      <c r="J46" s="279" t="s">
        <v>119</v>
      </c>
      <c r="K46" s="279" t="s">
        <v>62</v>
      </c>
      <c r="L46" s="279" t="s">
        <v>62</v>
      </c>
      <c r="M46" s="279" t="s">
        <v>62</v>
      </c>
      <c r="N46" s="279" t="s">
        <v>62</v>
      </c>
      <c r="O46" s="279" t="s">
        <v>118</v>
      </c>
      <c r="P46" s="279" t="s">
        <v>118</v>
      </c>
      <c r="Q46" s="279" t="s">
        <v>118</v>
      </c>
      <c r="R46" s="279" t="s">
        <v>119</v>
      </c>
      <c r="S46" s="279" t="s">
        <v>118</v>
      </c>
      <c r="T46" s="280" t="s">
        <v>118</v>
      </c>
    </row>
    <row r="47" spans="1:20" ht="13.5" customHeight="1">
      <c r="A47" s="198"/>
      <c r="B47" s="424" t="s">
        <v>164</v>
      </c>
      <c r="C47" s="424"/>
      <c r="D47" s="424"/>
      <c r="E47" s="108"/>
      <c r="F47" s="281" t="s">
        <v>165</v>
      </c>
      <c r="G47" s="281" t="s">
        <v>165</v>
      </c>
      <c r="H47" s="281" t="s">
        <v>165</v>
      </c>
      <c r="I47" s="281" t="s">
        <v>165</v>
      </c>
      <c r="J47" s="281" t="s">
        <v>165</v>
      </c>
      <c r="K47" s="281" t="s">
        <v>165</v>
      </c>
      <c r="L47" s="281" t="s">
        <v>165</v>
      </c>
      <c r="M47" s="281" t="s">
        <v>165</v>
      </c>
      <c r="N47" s="281" t="s">
        <v>165</v>
      </c>
      <c r="O47" s="281" t="s">
        <v>165</v>
      </c>
      <c r="P47" s="281" t="s">
        <v>165</v>
      </c>
      <c r="Q47" s="281" t="s">
        <v>165</v>
      </c>
      <c r="R47" s="281" t="s">
        <v>165</v>
      </c>
      <c r="S47" s="281" t="s">
        <v>165</v>
      </c>
      <c r="T47" s="282" t="s">
        <v>165</v>
      </c>
    </row>
    <row r="48" spans="1:20" ht="69" customHeight="1">
      <c r="A48" s="199" t="s">
        <v>162</v>
      </c>
      <c r="B48" s="406" t="s">
        <v>166</v>
      </c>
      <c r="C48" s="406"/>
      <c r="D48" s="406"/>
      <c r="E48" s="109"/>
      <c r="F48" s="110">
        <v>46107</v>
      </c>
      <c r="G48" s="110">
        <v>46107</v>
      </c>
      <c r="H48" s="110">
        <v>46107</v>
      </c>
      <c r="I48" s="110">
        <v>46107</v>
      </c>
      <c r="J48" s="110">
        <v>46107</v>
      </c>
      <c r="K48" s="110">
        <v>46107</v>
      </c>
      <c r="L48" s="110">
        <v>46107</v>
      </c>
      <c r="M48" s="110">
        <v>46107</v>
      </c>
      <c r="N48" s="110">
        <v>46107</v>
      </c>
      <c r="O48" s="110">
        <v>46107</v>
      </c>
      <c r="P48" s="110">
        <v>46107</v>
      </c>
      <c r="Q48" s="110">
        <v>46107</v>
      </c>
      <c r="R48" s="110">
        <v>46107</v>
      </c>
      <c r="S48" s="110">
        <v>46107</v>
      </c>
      <c r="T48" s="193">
        <v>46107</v>
      </c>
    </row>
    <row r="49" spans="1:20" ht="13.5" customHeight="1">
      <c r="A49" s="192"/>
      <c r="B49" s="409" t="s">
        <v>167</v>
      </c>
      <c r="C49" s="409"/>
      <c r="D49" s="409"/>
      <c r="E49" s="195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7"/>
    </row>
    <row r="50" spans="1:20" ht="13.5" customHeight="1">
      <c r="A50" s="192"/>
      <c r="B50" s="75"/>
      <c r="C50" s="364"/>
      <c r="D50" s="75"/>
    </row>
    <row r="51" spans="1:20" ht="13.5" customHeight="1">
      <c r="A51" s="194"/>
      <c r="D51" s="364"/>
    </row>
    <row r="52" spans="1:20" ht="13.5" customHeight="1">
      <c r="A52" s="79"/>
      <c r="D52" s="364"/>
    </row>
    <row r="53" spans="1:20" ht="13.5" customHeight="1">
      <c r="D53" s="364"/>
    </row>
    <row r="54" spans="1:20" ht="13.5" customHeight="1">
      <c r="D54" s="364"/>
    </row>
    <row r="55" spans="1:20" ht="13.5" customHeight="1">
      <c r="D55" s="364"/>
    </row>
    <row r="56" spans="1:20" ht="13.5" customHeight="1">
      <c r="D56" s="364"/>
    </row>
    <row r="57" spans="1:20" ht="13.5" customHeight="1">
      <c r="D57" s="364"/>
    </row>
    <row r="58" spans="1:20" ht="13.5" customHeight="1">
      <c r="D58" s="364"/>
    </row>
    <row r="59" spans="1:20" ht="13.5" customHeight="1">
      <c r="D59" s="364"/>
    </row>
    <row r="60" spans="1:20" ht="13.5" customHeight="1">
      <c r="D60" s="364"/>
    </row>
    <row r="61" spans="1:20" ht="13.5" customHeight="1">
      <c r="D61" s="364"/>
    </row>
    <row r="62" spans="1:20" ht="13.5" customHeight="1">
      <c r="D62" s="364"/>
    </row>
    <row r="63" spans="1:20" ht="13.5" customHeight="1">
      <c r="D63" s="364"/>
    </row>
    <row r="64" spans="1:20" ht="13.5" customHeight="1">
      <c r="D64" s="364"/>
    </row>
    <row r="65" spans="4:4" ht="13.5" customHeight="1">
      <c r="D65" s="364"/>
    </row>
    <row r="66" spans="4:4" ht="13.5" customHeight="1">
      <c r="D66" s="364"/>
    </row>
    <row r="67" spans="4:4" ht="13.5" customHeight="1">
      <c r="D67" s="364"/>
    </row>
    <row r="68" spans="4:4" ht="13.5" customHeight="1">
      <c r="D68" s="364"/>
    </row>
    <row r="69" spans="4:4" ht="13.5" customHeight="1">
      <c r="D69" s="364"/>
    </row>
    <row r="70" spans="4:4" ht="13.5" customHeight="1">
      <c r="D70" s="364"/>
    </row>
    <row r="71" spans="4:4" ht="13.5" customHeight="1">
      <c r="D71" s="364"/>
    </row>
    <row r="72" spans="4:4" ht="13.5" customHeight="1">
      <c r="D72" s="364"/>
    </row>
    <row r="73" spans="4:4" ht="13.5" customHeight="1">
      <c r="D73" s="364"/>
    </row>
    <row r="74" spans="4:4" ht="13.5" customHeight="1">
      <c r="D74" s="364"/>
    </row>
    <row r="75" spans="4:4" ht="13.5" customHeight="1">
      <c r="D75" s="364"/>
    </row>
  </sheetData>
  <mergeCells count="28">
    <mergeCell ref="D15:E15"/>
    <mergeCell ref="B46:D46"/>
    <mergeCell ref="B47:D47"/>
    <mergeCell ref="B48:D48"/>
    <mergeCell ref="B49:D49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T3"/>
  </mergeCells>
  <phoneticPr fontId="44"/>
  <dataValidations count="3">
    <dataValidation type="list" allowBlank="1" showInputMessage="1" showErrorMessage="1" sqref="F47:T47" xr:uid="{8F57F08D-4FCC-4D40-82CE-10A47E4F9444}">
      <formula1>"P,F, "</formula1>
    </dataValidation>
    <dataValidation type="list" allowBlank="1" showInputMessage="1" showErrorMessage="1" sqref="F46:T46" xr:uid="{2DA40C88-5635-436C-AF7C-9BC812D15527}">
      <formula1>"N,A,B, "</formula1>
    </dataValidation>
    <dataValidation type="list" allowBlank="1" showInputMessage="1" showErrorMessage="1" sqref="F10:T45" xr:uid="{79F89208-919B-43FE-BF95-6A05C1F6BB0C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FPT-Software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Hoang Anh</dc:creator>
  <cp:keywords/>
  <dc:description/>
  <cp:lastModifiedBy/>
  <cp:revision/>
  <dcterms:created xsi:type="dcterms:W3CDTF">2007-10-09T09:39:48Z</dcterms:created>
  <dcterms:modified xsi:type="dcterms:W3CDTF">2026-03-27T03:01:19Z</dcterms:modified>
  <cp:category/>
  <cp:contentStatus/>
</cp:coreProperties>
</file>